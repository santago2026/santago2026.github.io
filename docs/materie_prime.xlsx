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otti Finiti" sheetId="1" state="visible" r:id="rId3"/>
    <sheet name="Margine 2025" sheetId="2" state="visible" r:id="rId4"/>
    <sheet name="Fabbisogno 2026" sheetId="3" state="visible" r:id="rId5"/>
    <sheet name="Menu HTML" sheetId="4" state="visible" r:id="rId6"/>
    <sheet name="Testi Menu" sheetId="5" state="visible" r:id="rId7"/>
    <sheet name="Note" sheetId="6" state="visible" r:id="rId8"/>
    <sheet name="Materie Prime" sheetId="7" state="visible" r:id="rId9"/>
    <sheet name="Materie Prime Bevande" sheetId="8" state="visible" r:id="rId10"/>
    <sheet name="Materie Prime IperTosano" sheetId="9" state="visible" r:id="rId11"/>
    <sheet name="Prezzi Unitari" sheetId="10" state="visible" r:id="rId12"/>
    <sheet name="Parametri" sheetId="11" state="visible" r:id="rId13"/>
    <sheet name="Vendite 2025" sheetId="12" state="visible" r:id="rId14"/>
    <sheet name="Modello Hamburger" sheetId="13" state="visible" r:id="rId15"/>
    <sheet name="Valutazione Nuovi Fritti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<sst xmlns="http://schemas.openxmlformats.org/spreadsheetml/2006/main" count="1124" uniqueCount="766">
  <si>
    <t xml:space="preserve">Prodotto</t>
  </si>
  <si>
    <t xml:space="preserve">Prezzo Vendita (€)</t>
  </si>
  <si>
    <t xml:space="preserve">Costo Totale al Pezzo (€)</t>
  </si>
  <si>
    <t xml:space="preserve">Piadina / Pane (€)</t>
  </si>
  <si>
    <t xml:space="preserve">Carne (€)</t>
  </si>
  <si>
    <t xml:space="preserve">Cottura + Verdure (€)</t>
  </si>
  <si>
    <t xml:space="preserve">Salume/Crudo/Cotto (€)</t>
  </si>
  <si>
    <t xml:space="preserve">Formaggio (€)</t>
  </si>
  <si>
    <t xml:space="preserve">Fritto surgelato (€)</t>
  </si>
  <si>
    <t xml:space="preserve">Olio (€)</t>
  </si>
  <si>
    <t xml:space="preserve">Condimenti (€)</t>
  </si>
  <si>
    <t xml:space="preserve">Stecchini (€)</t>
  </si>
  <si>
    <t xml:space="preserve">Piatto (€)</t>
  </si>
  <si>
    <t xml:space="preserve">Tovagliolo (€)</t>
  </si>
  <si>
    <t xml:space="preserve">Bevanda (€)</t>
  </si>
  <si>
    <t xml:space="preserve">Bicchiere (€)</t>
  </si>
  <si>
    <t xml:space="preserve">Liquore (€)</t>
  </si>
  <si>
    <t xml:space="preserve">Ghiaccio (€)</t>
  </si>
  <si>
    <t xml:space="preserve">CO2 (€)</t>
  </si>
  <si>
    <t xml:space="preserve">Margine (€)</t>
  </si>
  <si>
    <t xml:space="preserve">Margine (%)</t>
  </si>
  <si>
    <t xml:space="preserve">Nome a menu</t>
  </si>
  <si>
    <t xml:space="preserve">Descrizione a menu</t>
  </si>
  <si>
    <t xml:space="preserve">PIADINA P.CRUDO</t>
  </si>
  <si>
    <t xml:space="preserve">Piadina prosciutto crudo</t>
  </si>
  <si>
    <t xml:space="preserve">PIADINA P.CRUDO E FORMAGGIO</t>
  </si>
  <si>
    <t xml:space="preserve">Piadina prosciutto crudo e formaggio</t>
  </si>
  <si>
    <t xml:space="preserve">PIADINA P.COTTO</t>
  </si>
  <si>
    <t xml:space="preserve">Piadina prosciutto cotto</t>
  </si>
  <si>
    <t xml:space="preserve">PIADINA P.COTTO E FORMAGGIO</t>
  </si>
  <si>
    <t xml:space="preserve">Piadina prosciutto cotto e formaggio</t>
  </si>
  <si>
    <t xml:space="preserve">PIADINA SALAME</t>
  </si>
  <si>
    <t xml:space="preserve">Piadina salame ferrarese</t>
  </si>
  <si>
    <t xml:space="preserve">PIADINA SALAME E FORMAGGIO</t>
  </si>
  <si>
    <t xml:space="preserve">Piadina salame ferrarese e formaggio</t>
  </si>
  <si>
    <t xml:space="preserve">PIADINA SOLO FORMAGGIO</t>
  </si>
  <si>
    <t xml:space="preserve">Piadina solo formaggio</t>
  </si>
  <si>
    <t xml:space="preserve">HAMBURGER CON PATATINE</t>
  </si>
  <si>
    <t xml:space="preserve">Piatto hamburger</t>
  </si>
  <si>
    <t xml:space="preserve">Carne del macellaio, pomodoro, insalata, maionese e ketchup, con patatine fritte</t>
  </si>
  <si>
    <t xml:space="preserve">PATATINE FRITTE</t>
  </si>
  <si>
    <t xml:space="preserve">Patatine fritte</t>
  </si>
  <si>
    <t xml:space="preserve">Con ketchup e maionese</t>
  </si>
  <si>
    <t xml:space="preserve">ACQUA NATURALE 0,5L</t>
  </si>
  <si>
    <t xml:space="preserve">Acqua naturale</t>
  </si>
  <si>
    <t xml:space="preserve">Bottiglia 0,5 L</t>
  </si>
  <si>
    <t xml:space="preserve">ACQUA FRIZZANTE 0,5L</t>
  </si>
  <si>
    <t xml:space="preserve">Acqua frizzante</t>
  </si>
  <si>
    <t xml:space="preserve">COCA COLA 0,2L</t>
  </si>
  <si>
    <t xml:space="preserve">Coca Cola</t>
  </si>
  <si>
    <t xml:space="preserve">Alla spina</t>
  </si>
  <si>
    <t xml:space="preserve">COCA COLA 0,4L</t>
  </si>
  <si>
    <t xml:space="preserve">SPRITE 0,33L</t>
  </si>
  <si>
    <t xml:space="preserve">Sprite</t>
  </si>
  <si>
    <t xml:space="preserve">Lattina 0,33 L</t>
  </si>
  <si>
    <t xml:space="preserve">COCA COLA SENZA CAFFEINA 0,33L</t>
  </si>
  <si>
    <t xml:space="preserve">Coca Cola senza caffeina</t>
  </si>
  <si>
    <t xml:space="preserve">THE LIMONE</t>
  </si>
  <si>
    <t xml:space="preserve">Tè al limone</t>
  </si>
  <si>
    <t xml:space="preserve">THE PESCA</t>
  </si>
  <si>
    <t xml:space="preserve">Tè alla pesca</t>
  </si>
  <si>
    <t xml:space="preserve">BIRRA ROSSA 0,2L</t>
  </si>
  <si>
    <t xml:space="preserve">Birra rossa</t>
  </si>
  <si>
    <t xml:space="preserve">BIRRA ROSSA 0,4L</t>
  </si>
  <si>
    <t xml:space="preserve">BIRRA BIONDA 0,2L</t>
  </si>
  <si>
    <t xml:space="preserve">Birra bionda</t>
  </si>
  <si>
    <t xml:space="preserve">BIRRA BIONDA 0,4L</t>
  </si>
  <si>
    <t xml:space="preserve">VINO BIANCO 0,2L</t>
  </si>
  <si>
    <t xml:space="preserve">Vino bianco frizzante</t>
  </si>
  <si>
    <t xml:space="preserve">SPRITZ APEROL</t>
  </si>
  <si>
    <t xml:space="preserve">Spritz Aperol</t>
  </si>
  <si>
    <t xml:space="preserve">SPRITZ CAMPARI</t>
  </si>
  <si>
    <t xml:space="preserve">Spritz Campari</t>
  </si>
  <si>
    <t xml:space="preserve">ANELLI DI CIPOLLA</t>
  </si>
  <si>
    <t xml:space="preserve">OLIVE ALL'ASCOLANA</t>
  </si>
  <si>
    <t xml:space="preserve">Verde = prezzo impostato per il 2026. Composizioni e grammature nel foglio 'Parametri'. Righe GRIGIE = prodotti valutati ma NON a menu 2026 (i costi restano calcolati). Le colonne V e W (beige) alimentano il menu HTML: modificandole cambia il testo del menu.</t>
  </si>
  <si>
    <t xml:space="preserve">Pezzi Venduti 2025</t>
  </si>
  <si>
    <t xml:space="preserve">Prezzo Vendita Attuale (€)</t>
  </si>
  <si>
    <t xml:space="preserve">Incasso Previsto (€)</t>
  </si>
  <si>
    <t xml:space="preserve">Costo Unitario (€)</t>
  </si>
  <si>
    <t xml:space="preserve">Costo Totale (€)</t>
  </si>
  <si>
    <t xml:space="preserve">Margine Totale (€)</t>
  </si>
  <si>
    <t xml:space="preserve">% su Margine Complessivo</t>
  </si>
  <si>
    <t xml:space="preserve">TOTALE</t>
  </si>
  <si>
    <t xml:space="preserve">Margine % complessivo</t>
  </si>
  <si>
    <t xml:space="preserve">Volumi 2025 valorizzati con prezzi e costi attuali. I prodotti nuovi (combo hamburger, anelli, olive, Sprite) non erano in vendita nel 2025: inserire una stima di pezzi nelle celle gialle. Non include costi fissi.</t>
  </si>
  <si>
    <t xml:space="preserve">GIORNATE 2026: 7 TOTALI - Weekend 1 gio-dom (4 gg), Weekend 2 ven-dom (3 gg)</t>
  </si>
  <si>
    <t xml:space="preserve">Weekend 1 (gio-dom) - fattore vs stesse giornate 2025</t>
  </si>
  <si>
    <t xml:space="preserve">Weekend 2 (ven-dom) - fattore vs stesse giornate 2025</t>
  </si>
  <si>
    <t xml:space="preserve">Weekend 1 = tutte e 4 le giornate 2025. Weekend 2 = solo ven+sab+dom 2025. Prodotti nuovi (combo hamburger, anelli, olive, Sprite): nessuno storico, inserire i pezzi previsti nelle celle gialle.</t>
  </si>
  <si>
    <t xml:space="preserve">PEZZI PREVISTI PER PRODOTTO</t>
  </si>
  <si>
    <t xml:space="preserve">Weekend 1</t>
  </si>
  <si>
    <t xml:space="preserve">Weekend 2</t>
  </si>
  <si>
    <t xml:space="preserve">Totale 2026</t>
  </si>
  <si>
    <t xml:space="preserve">TOTALE PEZZI</t>
  </si>
  <si>
    <t xml:space="preserve">FABBISOGNO MATERIE PRIME</t>
  </si>
  <si>
    <t xml:space="preserve">Materia Prima</t>
  </si>
  <si>
    <t xml:space="preserve">Unita'</t>
  </si>
  <si>
    <t xml:space="preserve">Colli / Confezioni da ordinare (totale)</t>
  </si>
  <si>
    <t xml:space="preserve">Piadine (pezzi)</t>
  </si>
  <si>
    <t xml:space="preserve">pezzi</t>
  </si>
  <si>
    <t xml:space="preserve">Pagnottine hamburger (pezzi)</t>
  </si>
  <si>
    <t xml:space="preserve">Carne hamburger (pezzi)</t>
  </si>
  <si>
    <t xml:space="preserve">Prosciutto Crudo (kg)</t>
  </si>
  <si>
    <t xml:space="preserve">kg</t>
  </si>
  <si>
    <t xml:space="preserve">Prosciutto Cotto (kg)</t>
  </si>
  <si>
    <t xml:space="preserve">Salame Ferrarese (kg)</t>
  </si>
  <si>
    <t xml:space="preserve">Formaggio Edamer (kg)</t>
  </si>
  <si>
    <t xml:space="preserve">Patatine surgelate (kg)</t>
  </si>
  <si>
    <t xml:space="preserve">Anelli di cipolla surgelati (kg)</t>
  </si>
  <si>
    <t xml:space="preserve">Olive ascolane surgelate (kg)</t>
  </si>
  <si>
    <t xml:space="preserve">Olio di semi (litri)</t>
  </si>
  <si>
    <t xml:space="preserve">litri</t>
  </si>
  <si>
    <t xml:space="preserve">Ketchup mono (bustine)</t>
  </si>
  <si>
    <t xml:space="preserve">bustine</t>
  </si>
  <si>
    <t xml:space="preserve">Maionese mono (bustine)</t>
  </si>
  <si>
    <t xml:space="preserve">Stecchini bamboo (pezzi)</t>
  </si>
  <si>
    <t xml:space="preserve">Birra Bionda (litri)</t>
  </si>
  <si>
    <t xml:space="preserve">Birra Rossa (litri)</t>
  </si>
  <si>
    <t xml:space="preserve">Vino Bianco (litri)</t>
  </si>
  <si>
    <t xml:space="preserve">Coca Cola premix (litri)</t>
  </si>
  <si>
    <t xml:space="preserve">Sprite lattine 0,33L (pezzi)</t>
  </si>
  <si>
    <t xml:space="preserve">Coca Cola senza caffeina lattine 0,33L (pezzi)</t>
  </si>
  <si>
    <t xml:space="preserve">Aperol (litri)</t>
  </si>
  <si>
    <t xml:space="preserve">Campari (litri)</t>
  </si>
  <si>
    <t xml:space="preserve">Acqua Naturale 0,5L (bottiglie)</t>
  </si>
  <si>
    <t xml:space="preserve">bottiglie</t>
  </si>
  <si>
    <t xml:space="preserve">Acqua Frizzante 0,5L (bottiglie)</t>
  </si>
  <si>
    <t xml:space="preserve">The Lipton Limone (lattine)</t>
  </si>
  <si>
    <t xml:space="preserve">lattine</t>
  </si>
  <si>
    <t xml:space="preserve">The Lipton Pesca (lattine)</t>
  </si>
  <si>
    <t xml:space="preserve">Ghiaccio a cubetti (kg)</t>
  </si>
  <si>
    <t xml:space="preserve">Piatti (pezzi)</t>
  </si>
  <si>
    <t xml:space="preserve">Tovaglioli (pezzi)</t>
  </si>
  <si>
    <t xml:space="preserve">Bicchieri 0,2L - P300 (pezzi)</t>
  </si>
  <si>
    <t xml:space="preserve">Bicchieri 0,3L - P400 (pezzi)</t>
  </si>
  <si>
    <t xml:space="preserve">Bicchieri 0,4L - P500 (pezzi)</t>
  </si>
  <si>
    <t xml:space="preserve">CO2 (bombole 5 kg)</t>
  </si>
  <si>
    <t xml:space="preserve">bombole</t>
  </si>
  <si>
    <t xml:space="preserve">Colli arrotondati per eccesso sul totale, senza scorta di sicurezza ne' sfrido di taglio salumi.</t>
  </si>
  <si>
    <t xml:space="preserve">CODICE HTML DEL MENU - nomi, descrizioni e prezzi si aggiornano da 'Prodotti Finiti'</t>
  </si>
  <si>
    <t xml:space="preserve">I prezzi qui sotto sono FORMULE collegate al foglio 'Prodotti Finiti' (colonna B).</t>
  </si>
  <si>
    <t xml:space="preserve">Cambiando un prezzo li', il codice HTML si aggiorna da solo: le righe VERDI sono i prezzi collegati.</t>
  </si>
  <si>
    <t xml:space="preserve">Le righe AZZURRE sono i nomi e le descrizioni dei prodotti (colonne V e W di 'Prodotti Finiti').</t>
  </si>
  <si>
    <t xml:space="preserve">Le righe ARANCIONI sono i testi fissi (titolo, sottotitolo, sezioni, piede) e vengono dal foglio 'Testi Menu'.</t>
  </si>
  <si>
    <t xml:space="preserve">Quindi tutto il menu (nomi, descrizioni e prezzi) si aggiorna modificando solo 'Prodotti Finiti'.</t>
  </si>
  <si>
    <t xml:space="preserve">Come rigenerare il file index.html:</t>
  </si>
  <si>
    <t xml:space="preserve">1. Clicca sull'intestazione della colonna A per selezionarla tutta.</t>
  </si>
  <si>
    <t xml:space="preserve">2. Copia (Ctrl+C), apri il Blocco note e incolla (Ctrl+V).</t>
  </si>
  <si>
    <t xml:space="preserve">3. Cancella queste righe di istruzioni in cima, lasciando solo da &lt;!DOCTYPE html&gt; in poi.</t>
  </si>
  <si>
    <t xml:space="preserve">4. Salva come 'index.html', tipo 'Tutti i file', codifica 'UTF-8'.</t>
  </si>
  <si>
    <t xml:space="preserve">Come pubblicarlo su GitHub Pages:</t>
  </si>
  <si>
    <t xml:space="preserve">1. Crea un repository nuovo su github.com (es. 'menu-sagra'), spuntando 'Add a README'.</t>
  </si>
  <si>
    <t xml:space="preserve">2. 'Add file' &gt; 'Upload files': carica index.html.</t>
  </si>
  <si>
    <t xml:space="preserve">3. Settings &gt; Pages: 'Branch' = main, cartella '/ (root)', poi Save.</t>
  </si>
  <si>
    <t xml:space="preserve">4. Dopo un paio di minuti il menu e' online su:  https://TUOUTENTE.github.io/menu-sagra/</t>
  </si>
  <si>
    <t xml:space="preserve">5. Con quell'indirizzo generi il QR code e lo stampi sui tavoli.</t>
  </si>
  <si>
    <t xml:space="preserve">Versione cartacea: apri la pagina e stampa (Ctrl+P): lo stile di stampa toglie colori e</t>
  </si>
  <si>
    <t xml:space="preserve">navigazione e dispone le voci su due colonne in A4.</t>
  </si>
  <si>
    <t xml:space="preserve">--- CODICE ---</t>
  </si>
  <si>
    <t xml:space="preserve">&lt;!DOCTYPE html&gt;</t>
  </si>
  <si>
    <t xml:space="preserve">&lt;html lang="it"&gt;</t>
  </si>
  <si>
    <t xml:space="preserve">&lt;head&gt;</t>
  </si>
  <si>
    <t xml:space="preserve">&lt;meta charset="utf-8"&gt;</t>
  </si>
  <si>
    <t xml:space="preserve">&lt;meta name="viewport" content="width=device-width, initial-scale=1"&gt;</t>
  </si>
  <si>
    <t xml:space="preserve">&lt;meta name="description" content="Il menu della Festa di Sant'Agostino 2026: piadine, hamburger, fritti e bevande."&gt;</t>
  </si>
  <si>
    <t xml:space="preserve">&lt;link rel="preconnect" href="https://fonts.googleapis.com"&gt;</t>
  </si>
  <si>
    <t xml:space="preserve">&lt;link rel="preconnect" href="https://fonts.gstatic.com" crossorigin&gt;</t>
  </si>
  <si>
    <t xml:space="preserve">&lt;link href="https://fonts.googleapis.com/css2?family=Archivo+Black&amp;family=Archivo:ital,wght@0,400;0,500;0,600;1,400&amp;display=swap" rel="stylesheet"&gt;</t>
  </si>
  <si>
    <t xml:space="preserve">&lt;style&gt;</t>
  </si>
  <si>
    <t xml:space="preserve">  :root{</t>
  </si>
  <si>
    <t xml:space="preserve">    --verde:#14452F;</t>
  </si>
  <si>
    <t xml:space="preserve">    --verde-scuro:#0E3222;</t>
  </si>
  <si>
    <t xml:space="preserve">    --panna:#FBF6EA;</t>
  </si>
  <si>
    <t xml:space="preserve">    --rosso:#B5232B;</t>
  </si>
  <si>
    <t xml:space="preserve">    --mais:#E8B33C;</t>
  </si>
  <si>
    <t xml:space="preserve">    --inchiostro:#1A211D;</t>
  </si>
  <si>
    <t xml:space="preserve">    --riga:rgba(20,69,47,.18);</t>
  </si>
  <si>
    <t xml:space="preserve">    --display:"Archivo Black",system-ui,sans-serif;</t>
  </si>
  <si>
    <t xml:space="preserve">    --testo:"Archivo",system-ui,sans-serif;</t>
  </si>
  <si>
    <t xml:space="preserve">  }</t>
  </si>
  <si>
    <t xml:space="preserve">  *{box-sizing:border-box}</t>
  </si>
  <si>
    <t xml:space="preserve">  html{scroll-behavior:smooth}</t>
  </si>
  <si>
    <t xml:space="preserve">  @media (prefers-reduced-motion:reduce){</t>
  </si>
  <si>
    <t xml:space="preserve">    html{scroll-behavior:auto}</t>
  </si>
  <si>
    <t xml:space="preserve">    *{animation-duration:.01ms!important;transition-duration:.01ms!important}</t>
  </si>
  <si>
    <t xml:space="preserve">  body{</t>
  </si>
  <si>
    <t xml:space="preserve">    margin:0;</t>
  </si>
  <si>
    <t xml:space="preserve">    background:var(--panna);</t>
  </si>
  <si>
    <t xml:space="preserve">    color:var(--inchiostro);</t>
  </si>
  <si>
    <t xml:space="preserve">    font-family:var(--testo);</t>
  </si>
  <si>
    <t xml:space="preserve">    font-size:17px;</t>
  </si>
  <si>
    <t xml:space="preserve">    line-height:1.45;</t>
  </si>
  <si>
    <t xml:space="preserve">    -webkit-text-size-adjust:100%;</t>
  </si>
  <si>
    <t xml:space="preserve">  .wrap{max-width:940px;margin:0 auto;padding:0 20px}</t>
  </si>
  <si>
    <t xml:space="preserve">  /* ---------- Testata ---------- */</t>
  </si>
  <si>
    <t xml:space="preserve">  .testata{</t>
  </si>
  <si>
    <t xml:space="preserve">    background:var(--verde);</t>
  </si>
  <si>
    <t xml:space="preserve">    color:var(--panna);</t>
  </si>
  <si>
    <t xml:space="preserve">    padding:38px 0 30px;</t>
  </si>
  <si>
    <t xml:space="preserve">    text-align:center;</t>
  </si>
  <si>
    <t xml:space="preserve">    position:relative;</t>
  </si>
  <si>
    <t xml:space="preserve">    overflow:hidden;</t>
  </si>
  <si>
    <t xml:space="preserve">  .testata::after{</t>
  </si>
  <si>
    <t xml:space="preserve">    content:"";</t>
  </si>
  <si>
    <t xml:space="preserve">    position:absolute;left:0;right:0;bottom:0;height:6px;</t>
  </si>
  <si>
    <t xml:space="preserve">    background:repeating-linear-gradient(90deg,var(--mais) 0 14px,var(--rosso) 14px 28px);</t>
  </si>
  <si>
    <t xml:space="preserve">  .occhiello{</t>
  </si>
  <si>
    <t xml:space="preserve">    font-size:12px;letter-spacing:.22em;text-transform:uppercase;</t>
  </si>
  <si>
    <t xml:space="preserve">    color:var(--mais);margin:0 0 12px;font-weight:600;</t>
  </si>
  <si>
    <t xml:space="preserve">  .titolo{</t>
  </si>
  <si>
    <t xml:space="preserve">    font-family:var(--display);</t>
  </si>
  <si>
    <t xml:space="preserve">    line-height:1.02;</t>
  </si>
  <si>
    <t xml:space="preserve">    text-transform:none;</t>
  </si>
  <si>
    <t xml:space="preserve">    font-variant-caps:small-caps;</t>
  </si>
  <si>
    <t xml:space="preserve">    letter-spacing:.005em;</t>
  </si>
  <si>
    <t xml:space="preserve">    overflow-wrap:break-word;</t>
  </si>
  <si>
    <t xml:space="preserve">  .titolo span{display:block}</t>
  </si>
  <si>
    <t xml:space="preserve">  .titolo .riga1{</t>
  </si>
  <si>
    <t xml:space="preserve">    font-size:clamp(1.15rem,4.4vw,1.7rem);</t>
  </si>
  <si>
    <t xml:space="preserve">    letter-spacing:.06em;</t>
  </si>
  <si>
    <t xml:space="preserve">  .titolo .riga2{</t>
  </si>
  <si>
    <t xml:space="preserve">    font-size:clamp(1.85rem,8vw,3.2rem);</t>
  </si>
  <si>
    <t xml:space="preserve">    color:var(--mais);</t>
  </si>
  <si>
    <t xml:space="preserve">    line-height:1;</t>
  </si>
  <si>
    <t xml:space="preserve">  .titolo .anno{</t>
  </si>
  <si>
    <t xml:space="preserve">    font-size:clamp(1rem,3.6vw,1.45rem);</t>
  </si>
  <si>
    <t xml:space="preserve">    letter-spacing:.14em;</t>
  </si>
  <si>
    <t xml:space="preserve">    margin-top:6px;</t>
  </si>
  <si>
    <t xml:space="preserve">    color:rgba(251,246,234,.85);</t>
  </si>
  <si>
    <t xml:space="preserve">  .sottotitolo{</t>
  </si>
  <si>
    <t xml:space="preserve">    margin:14px auto 0;max-width:34ch;</t>
  </si>
  <si>
    <t xml:space="preserve">    font-size:15px;color:rgba(251,246,234,.8);</t>
  </si>
  <si>
    <t xml:space="preserve">  /* ---------- Navigazione sezioni ---------- */</t>
  </si>
  <si>
    <t xml:space="preserve">  .banchi{</t>
  </si>
  <si>
    <t xml:space="preserve">    position:sticky;top:0;z-index:10;</t>
  </si>
  <si>
    <t xml:space="preserve">    border-bottom:1px solid var(--riga);</t>
  </si>
  <si>
    <t xml:space="preserve">    padding:10px 0;</t>
  </si>
  <si>
    <t xml:space="preserve">  .banchi ul{</t>
  </si>
  <si>
    <t xml:space="preserve">    display:flex;gap:8px;justify-content:center;flex-wrap:wrap;</t>
  </si>
  <si>
    <t xml:space="preserve">    list-style:none;margin:0;padding:0;</t>
  </si>
  <si>
    <t xml:space="preserve">  .banchi a{</t>
  </si>
  <si>
    <t xml:space="preserve">    display:block;</t>
  </si>
  <si>
    <t xml:space="preserve">    padding:8px 16px;</t>
  </si>
  <si>
    <t xml:space="preserve">    border:1.5px solid var(--verde);</t>
  </si>
  <si>
    <t xml:space="preserve">    border-radius:999px;</t>
  </si>
  <si>
    <t xml:space="preserve">    color:var(--verde);</t>
  </si>
  <si>
    <t xml:space="preserve">    text-decoration:none;</t>
  </si>
  <si>
    <t xml:space="preserve">    font-size:13px;font-weight:600;</t>
  </si>
  <si>
    <t xml:space="preserve">    letter-spacing:.1em;text-transform:uppercase;</t>
  </si>
  <si>
    <t xml:space="preserve">    transition:background .18s,color .18s;</t>
  </si>
  <si>
    <t xml:space="preserve">  .banchi a:hover,.banchi a:focus-visible{background:var(--verde);color:var(--panna)}</t>
  </si>
  <si>
    <t xml:space="preserve">  a:focus-visible{outline:3px solid var(--rosso);outline-offset:3px}</t>
  </si>
  <si>
    <t xml:space="preserve">  /* ---------- Sezioni ---------- */</t>
  </si>
  <si>
    <t xml:space="preserve">  .sezione{margin:44px 0 0}</t>
  </si>
  <si>
    <t xml:space="preserve">  .insegna{</t>
  </si>
  <si>
    <t xml:space="preserve">    border-radius:4px;</t>
  </si>
  <si>
    <t xml:space="preserve">    padding:16px 22px;</t>
  </si>
  <si>
    <t xml:space="preserve">    display:flex;align-items:baseline;justify-content:space-between;gap:16px;</t>
  </si>
  <si>
    <t xml:space="preserve">  /* firma: le lampadine appese sopra l'insegna del banco */</t>
  </si>
  <si>
    <t xml:space="preserve">  .insegna::before{</t>
  </si>
  <si>
    <t xml:space="preserve">    position:absolute;left:18px;right:18px;top:-9px;height:9px;</t>
  </si>
  <si>
    <t xml:space="preserve">    background-image:radial-gradient(circle at center,var(--mais) 0 3.5px,transparent 4px);</t>
  </si>
  <si>
    <t xml:space="preserve">    background-size:26px 9px;</t>
  </si>
  <si>
    <t xml:space="preserve">    background-repeat:repeat-x;</t>
  </si>
  <si>
    <t xml:space="preserve">    background-position:center bottom;</t>
  </si>
  <si>
    <t xml:space="preserve">  .insegna h2{</t>
  </si>
  <si>
    <t xml:space="preserve">    font-size:clamp(1.3rem,4vw,1.9rem);</t>
  </si>
  <si>
    <t xml:space="preserve">    margin:0;text-transform:uppercase;letter-spacing:.02em;</t>
  </si>
  <si>
    <t xml:space="preserve">  .insegna p{margin:0;font-size:13px;color:var(--mais);letter-spacing:.06em;text-transform:uppercase}</t>
  </si>
  <si>
    <t xml:space="preserve">  .voci{list-style:none;margin:0;padding:0}</t>
  </si>
  <si>
    <t xml:space="preserve">  .voce{</t>
  </si>
  <si>
    <t xml:space="preserve">    display:flex;align-items:baseline;gap:10px;</t>
  </si>
  <si>
    <t xml:space="preserve">    padding:13px 4px;</t>
  </si>
  <si>
    <t xml:space="preserve">  .voce:last-child{border-bottom:0}</t>
  </si>
  <si>
    <t xml:space="preserve">  .nome{font-weight:600}</t>
  </si>
  <si>
    <t xml:space="preserve">  .nome em{</t>
  </si>
  <si>
    <t xml:space="preserve">    display:block;font-style:italic;font-weight:400;</t>
  </si>
  <si>
    <t xml:space="preserve">    font-size:14px;color:rgba(26,33,29,.62);margin-top:2px;</t>
  </si>
  <si>
    <t xml:space="preserve">  .punti{</t>
  </si>
  <si>
    <t xml:space="preserve">    flex:1;</t>
  </si>
  <si>
    <t xml:space="preserve">    border-bottom:1.5px dotted var(--riga);</t>
  </si>
  <si>
    <t xml:space="preserve">    transform:translateY(-4px);</t>
  </si>
  <si>
    <t xml:space="preserve">    min-width:18px;</t>
  </si>
  <si>
    <t xml:space="preserve">  .prezzo{</t>
  </si>
  <si>
    <t xml:space="preserve">    font-size:1.05rem;</t>
  </si>
  <si>
    <t xml:space="preserve">    white-space:nowrap;</t>
  </si>
  <si>
    <t xml:space="preserve">    font-variant-numeric:tabular-nums;</t>
  </si>
  <si>
    <t xml:space="preserve">  /* due formati sulla stessa riga: piccola / grande */</t>
  </si>
  <si>
    <t xml:space="preserve">  .formati{display:flex;gap:20px;white-space:nowrap}</t>
  </si>
  <si>
    <t xml:space="preserve">  .formato{text-align:right}</t>
  </si>
  <si>
    <t xml:space="preserve">  .formato small{</t>
  </si>
  <si>
    <t xml:space="preserve">    font-size:11px;font-weight:600;</t>
  </si>
  <si>
    <t xml:space="preserve">    letter-spacing:.08em;text-transform:uppercase;</t>
  </si>
  <si>
    <t xml:space="preserve">    color:rgba(26,33,29,.55);</t>
  </si>
  <si>
    <t xml:space="preserve">  /* ---------- Chiusura ---------- */</t>
  </si>
  <si>
    <t xml:space="preserve">  .chiusura{</t>
  </si>
  <si>
    <t xml:space="preserve">    margin:52px 0 0;</t>
  </si>
  <si>
    <t xml:space="preserve">    background:var(--verde);color:var(--panna);</t>
  </si>
  <si>
    <t xml:space="preserve">    text-align:center;padding:30px 20px;</t>
  </si>
  <si>
    <t xml:space="preserve">  .chiusura p{margin:0 0 6px;font-size:14px;color:rgba(251,246,234,.82)}</t>
  </si>
  <si>
    <t xml:space="preserve">  .chiusura strong{color:var(--mais)}</t>
  </si>
  <si>
    <t xml:space="preserve">  /* ---------- Stampa: A4, due colonne, niente colore di fondo ---------- */</t>
  </si>
  <si>
    <t xml:space="preserve">.qr{</t>
  </si>
  <si>
    <t xml:space="preserve">  max-width:820px; margin:2.4rem auto .6rem; padding:0 1rem;</t>
  </si>
  <si>
    <t xml:space="preserve">  display:flex; flex-direction:column; align-items:center; gap:.55rem; text-align:center;</t>
  </si>
  <si>
    <t xml:space="preserve">}</t>
  </si>
  <si>
    <t xml:space="preserve">.qr svg{</t>
  </si>
  <si>
    <t xml:space="preserve">  width:104px; height:104px; display:block;</t>
  </si>
  <si>
    <t xml:space="preserve">  background:#fff; padding:7px; border-radius:6px;</t>
  </si>
  <si>
    <t xml:space="preserve">  border:2px solid var(--verde);</t>
  </si>
  <si>
    <t xml:space="preserve">.qr p{margin:0; font-size:.74rem; letter-spacing:.06em; text-transform:uppercase; font-weight:700; color:var(--verde)}</t>
  </si>
  <si>
    <t xml:space="preserve">.qr a{color:var(--verde); text-decoration:none; font-size:.78rem; letter-spacing:.01em; text-transform:none; font-weight:400}</t>
  </si>
  <si>
    <t xml:space="preserve">.qr a:hover{text-decoration:underline}</t>
  </si>
  <si>
    <t xml:space="preserve">.barra-stampa{</t>
  </si>
  <si>
    <t xml:space="preserve">  display:none;</t>
  </si>
  <si>
    <t xml:space="preserve">  gap:.6rem; justify-content:center; flex-wrap:wrap;</t>
  </si>
  <si>
    <t xml:space="preserve">  margin:0 auto 2.2rem; padding:0 1rem; max-width:820px;</t>
  </si>
  <si>
    <t xml:space="preserve">body.mostra-stampa .barra-stampa{display:flex}</t>
  </si>
  <si>
    <t xml:space="preserve">.barra-stampa button{</t>
  </si>
  <si>
    <t xml:space="preserve">  font-family:inherit; font-size:.82rem; font-weight:700; letter-spacing:.04em;</t>
  </si>
  <si>
    <t xml:space="preserve">  text-transform:uppercase; cursor:pointer;</t>
  </si>
  <si>
    <t xml:space="preserve">  padding:.6rem 1.1rem; border-radius:999px;</t>
  </si>
  <si>
    <t xml:space="preserve">  border:2px solid var(--verde); background:transparent; color:var(--verde);</t>
  </si>
  <si>
    <t xml:space="preserve">  transition:background .15s ease, color .15s ease;</t>
  </si>
  <si>
    <t xml:space="preserve">.barra-stampa button:hover{background:var(--verde); color:var(--panna)}</t>
  </si>
  <si>
    <t xml:space="preserve">.barra-stampa button.primario{background:var(--rosso); border-color:var(--rosso); color:var(--panna)}</t>
  </si>
  <si>
    <t xml:space="preserve">.barra-stampa button.primario:hover{background:var(--verde); border-color:var(--verde)}</t>
  </si>
  <si>
    <t xml:space="preserve">@media print{ .barra-stampa{display:none !important} }</t>
  </si>
  <si>
    <t xml:space="preserve">  @media print{</t>
  </si>
  <si>
    <t xml:space="preserve">    @page{size:A4;margin:12mm}</t>
  </si>
  <si>
    <t xml:space="preserve">    body{background:#fff;color:#000;font-size:10.5pt;line-height:1.3}</t>
  </si>
  <si>
    <t xml:space="preserve">    .banchi,.chiusura{display:none}</t>
  </si>
  <si>
    <t xml:space="preserve">    .qr{margin:6mm auto 0; padding:0; break-inside:avoid}</t>
  </si>
  <si>
    <t xml:space="preserve">    .qr svg{width:74px; height:74px; border:1pt solid #000; padding:4px}</t>
  </si>
  <si>
    <t xml:space="preserve">    .qr p{color:#000; font-size:7.5pt}</t>
  </si>
  <si>
    <t xml:space="preserve">    .qr a{color:#000; font-size:7.5pt}</t>
  </si>
  <si>
    <t xml:space="preserve">    body.stampa-colore .qr svg{border-color:var(--verde)}</t>
  </si>
  <si>
    <t xml:space="preserve">    body.stampa-colore .qr p, body.stampa-colore .qr a{color:var(--verde)}</t>
  </si>
  <si>
    <t xml:space="preserve">    .wrap{max-width:none;padding:0}</t>
  </si>
  <si>
    <t xml:space="preserve">    .testata{</t>
  </si>
  <si>
    <t xml:space="preserve">      background:#fff;color:#000;padding:0 0 8mm;border-bottom:2pt solid #000;</t>
  </si>
  <si>
    <t xml:space="preserve">    }</t>
  </si>
  <si>
    <t xml:space="preserve">    .testata::after{display:none}</t>
  </si>
  <si>
    <t xml:space="preserve">    .occhiello{color:#000;margin-bottom:4pt}</t>
  </si>
  <si>
    <t xml:space="preserve">    .titolo .riga1{font-size:12pt}</t>
  </si>
  <si>
    <t xml:space="preserve">    .titolo .riga2{font-size:24pt;color:#000}</t>
  </si>
  <si>
    <t xml:space="preserve">    .titolo .anno{font-size:11pt;color:#000}</t>
  </si>
  <si>
    <t xml:space="preserve">    .sottotitolo{color:#000;margin-top:6pt}</t>
  </si>
  <si>
    <t xml:space="preserve">    .sezione{margin:7mm 0 0;break-inside:avoid}</t>
  </si>
  <si>
    <t xml:space="preserve">    .insegna{</t>
  </si>
  <si>
    <t xml:space="preserve">      background:#fff;color:#000;padding:0 0 3pt;</t>
  </si>
  <si>
    <t xml:space="preserve">      border-bottom:1.5pt solid #000;border-radius:0;</t>
  </si>
  <si>
    <t xml:space="preserve">    .insegna::before{display:none}</t>
  </si>
  <si>
    <t xml:space="preserve">    .insegna h2{font-size:14pt}</t>
  </si>
  <si>
    <t xml:space="preserve">    .insegna p{color:#000}</t>
  </si>
  <si>
    <t xml:space="preserve">    .voce{padding:5pt 0;border-bottom:.5pt solid #bbb;break-inside:avoid}</t>
  </si>
  <si>
    <t xml:space="preserve">    .nome em{color:#333;font-size:9pt}</t>
  </si>
  <si>
    <t xml:space="preserve">    .prezzo{font-size:11pt}</t>
  </si>
  <si>
    <t xml:space="preserve">    .formato small{color:#333}</t>
  </si>
  <si>
    <t xml:space="preserve">    /* i fritti stanno in coda alla cucina: due colonne solo dove serve */</t>
  </si>
  <si>
    <t xml:space="preserve">    .voci{columns:2;column-gap:10mm}</t>
  </si>
  <si>
    <t xml:space="preserve">    .voce{break-inside:avoid}</t>
  </si>
  <si>
    <t xml:space="preserve">    #bevande .voci{columns:2}</t>
  </si>
  <si>
    <t xml:space="preserve">    /* ===== STAMPA A COLORI: attiva con il pulsante, ripristina la grafica ===== */</t>
  </si>
  <si>
    <t xml:space="preserve">    body.stampa-colore{</t>
  </si>
  <si>
    <t xml:space="preserve">      background:var(--panna); color:var(--verde);</t>
  </si>
  <si>
    <t xml:space="preserve">      -webkit-print-color-adjust:exact; print-color-adjust:exact;</t>
  </si>
  <si>
    <t xml:space="preserve">    body.stampa-colore *{-webkit-print-color-adjust:exact; print-color-adjust:exact}</t>
  </si>
  <si>
    <t xml:space="preserve">    body.stampa-colore .testata{</t>
  </si>
  <si>
    <t xml:space="preserve">      background:var(--verde); color:var(--panna);</t>
  </si>
  <si>
    <t xml:space="preserve">      padding:10mm 8mm 8mm; border-bottom:none;</t>
  </si>
  <si>
    <t xml:space="preserve">    body.stampa-colore .occhiello{color:var(--mais)}</t>
  </si>
  <si>
    <t xml:space="preserve">    body.stampa-colore .titolo .riga2{color:var(--panna)}</t>
  </si>
  <si>
    <t xml:space="preserve">    body.stampa-colore .titolo .anno{color:var(--mais)}</t>
  </si>
  <si>
    <t xml:space="preserve">    body.stampa-colore .sottotitolo{color:var(--panna); opacity:.92}</t>
  </si>
  <si>
    <t xml:space="preserve">    body.stampa-colore .insegna{</t>
  </si>
  <si>
    <t xml:space="preserve">      padding:5pt 8pt; border-bottom:none; border-radius:4pt;</t>
  </si>
  <si>
    <t xml:space="preserve">    body.stampa-colore .insegna h2{color:var(--panna)}</t>
  </si>
  <si>
    <t xml:space="preserve">    body.stampa-colore .insegna p{color:var(--mais)}</t>
  </si>
  <si>
    <t xml:space="preserve">    body.stampa-colore .voce{border-bottom:.5pt dotted rgba(20,69,47,.45)}</t>
  </si>
  <si>
    <t xml:space="preserve">    body.stampa-colore .nome{color:var(--verde)}</t>
  </si>
  <si>
    <t xml:space="preserve">    body.stampa-colore .nome em{color:rgba(20,69,47,.75)}</t>
  </si>
  <si>
    <t xml:space="preserve">    body.stampa-colore .prezzo{color:var(--rosso)}</t>
  </si>
  <si>
    <t xml:space="preserve">    body.stampa-colore .formato small{color:rgba(20,69,47,.7)}</t>
  </si>
  <si>
    <t xml:space="preserve">    body.stampa-colore .punti{border-bottom:.5pt dotted rgba(20,69,47,.4)}</t>
  </si>
  <si>
    <t xml:space="preserve">&lt;/style&gt;</t>
  </si>
  <si>
    <t xml:space="preserve">&lt;/head&gt;</t>
  </si>
  <si>
    <t xml:space="preserve">&lt;body&gt;</t>
  </si>
  <si>
    <t xml:space="preserve">&lt;header class="testata"&gt;</t>
  </si>
  <si>
    <t xml:space="preserve">  &lt;div class="wrap"&gt;</t>
  </si>
  <si>
    <t xml:space="preserve">  &lt;/div&gt;</t>
  </si>
  <si>
    <t xml:space="preserve">&lt;/header&gt;</t>
  </si>
  <si>
    <t xml:space="preserve">&lt;nav class="banchi" aria-label="Sezioni del menu"&gt;</t>
  </si>
  <si>
    <t xml:space="preserve">  &lt;ul&gt;</t>
  </si>
  <si>
    <t xml:space="preserve">  &lt;/ul&gt;</t>
  </si>
  <si>
    <t xml:space="preserve">&lt;/nav&gt;</t>
  </si>
  <si>
    <t xml:space="preserve">&lt;main class="wrap"&gt;</t>
  </si>
  <si>
    <t xml:space="preserve">  &lt;section class="sezione" id="cucina"&gt;</t>
  </si>
  <si>
    <t xml:space="preserve">    &lt;div class="insegna"&gt;</t>
  </si>
  <si>
    <t xml:space="preserve">    &lt;/div&gt;</t>
  </si>
  <si>
    <t xml:space="preserve">    &lt;ul class="voci"&gt;</t>
  </si>
  <si>
    <t xml:space="preserve">      &lt;li class="voce"&gt;</t>
  </si>
  <si>
    <t xml:space="preserve">        &lt;span class="punti" aria-hidden="true"&gt;&lt;/span&gt;</t>
  </si>
  <si>
    <t xml:space="preserve">      &lt;/li&gt;</t>
  </si>
  <si>
    <t xml:space="preserve">    &lt;/ul&gt;</t>
  </si>
  <si>
    <t xml:space="preserve">  &lt;/section&gt;</t>
  </si>
  <si>
    <t xml:space="preserve">  &lt;section class="sezione" id="fritti"&gt;</t>
  </si>
  <si>
    <t xml:space="preserve">  &lt;section class="sezione" id="bevande"&gt;</t>
  </si>
  <si>
    <t xml:space="preserve">        &lt;span class="formati"&gt;</t>
  </si>
  <si>
    <t xml:space="preserve">        &lt;/span&gt;</t>
  </si>
  <si>
    <t xml:space="preserve">&lt;/main&gt;</t>
  </si>
  <si>
    <t xml:space="preserve">  &lt;div class="barra-stampa"&gt;</t>
  </si>
  <si>
    <t xml:space="preserve">    &lt;button type="button" class="primario" onclick="stampa(true)"&gt;Stampa a colori&lt;/button&gt;</t>
  </si>
  <si>
    <t xml:space="preserve">    &lt;button type="button" onclick="stampa(false)"&gt;Stampa in bianco e nero&lt;/button&gt;</t>
  </si>
  <si>
    <t xml:space="preserve">&lt;script&gt;</t>
  </si>
  <si>
    <t xml:space="preserve">if(new URLSearchParams(location.search).has('print')){</t>
  </si>
  <si>
    <t xml:space="preserve">  document.body.classList.add('mostra-stampa');</t>
  </si>
  <si>
    <t xml:space="preserve">function stampa(colore){</t>
  </si>
  <si>
    <t xml:space="preserve">  document.body.classList.toggle('stampa-colore', colore);</t>
  </si>
  <si>
    <t xml:space="preserve">  window.print();</t>
  </si>
  <si>
    <t xml:space="preserve">window.addEventListener('afterprint', function(){</t>
  </si>
  <si>
    <t xml:space="preserve">  document.body.classList.remove('stampa-colore');</t>
  </si>
  <si>
    <t xml:space="preserve">});</t>
  </si>
  <si>
    <t xml:space="preserve">&lt;/script&gt;</t>
  </si>
  <si>
    <t xml:space="preserve">&lt;div class="qr"&gt;</t>
  </si>
  <si>
    <t xml:space="preserve">  &lt;p&gt;Il menu sul telefono&lt;/p&gt;</t>
  </si>
  <si>
    <t xml:space="preserve">  &lt;svg viewBox="0 0 33 33" xmlns="http://www.w3.org/2000/svg" shape-rendering="crispEdges" role="img" aria-label="QR code del menu"&gt;&lt;rect width="33" height="33" fill="#fff"/&gt;&lt;path d="M2 2h7v1h-7zM13 2h5v1h-5zM21 2h2v1h-2zM24 2h7v1h-7zM2 3h1v1h-1zM8 3h1v1h-1zM13 3h6v1h-6zM22 3h1v1h-1zM24 3h1v1h-1zM30 3h1v1h-1zM2 4h1v1h-1zM4 4h3v1h-3zM8 4h1v1h-1zM10 4h3v1h-3zM15 4h1v1h-1zM17 4h1v1h-1zM20 4h1v1h-1zM24 4h1v1h-1zM26 4h3v1h-3zM30 4h1v1h-1zM2 5h1v1h-1zM4 5h3v1h-3zM8 5h1v1h-1zM10 5h2v1h-2zM13 5h2v1h-2zM16 5h2v1h-2zM19 5h1v1h-1zM21 5h1v1h-1zM24 5h1v1h-1zM26 5h3v1h-3zM30 5h1v1h-1zM2 6h1v1h-1zM4 6h3v1h-3zM8 6h1v1h-1zM10 6h4v1h-4zM17 6h6v1h-6zM24 6h1v1h-1zM26 6h3v1h-3zM30 6h1v1h-1zM2 7h1v1h-1zM8 7h1v1h-1zM10 7h2v1h-2zM20 7h1v1h-1zM22 7h1v1h-1zM24 7h1v1h-1zM30 7h1v1h-1zM2 8h7v1h-7zM10 8h1v1h-1zM12 8h1v1h-1zM14 8h1v1h-1zM16 8h1v1h-1zM18 8h1v1h-1zM20 8h1v1h-1zM22 8h1v1h-1zM24 8h7v1h-7zM10 9h5v1h-5zM16 9h1v1h-1zM18 9h1v1h-1zM20 9h3v1h-3zM2 10h1v1h-1zM4 10h5v1h-5zM12 10h2v1h-2zM18 10h2v1h-2zM24 10h5v1h-5zM2 11h3v1h-3zM9 11h2v1h-2zM13 11h5v1h-5zM21 11h6v1h-6zM30 11h1v1h-1zM2 12h2v1h-2zM5 12h1v1h-1zM8 12h2v1h-2zM12 12h1v1h-1zM14 12h5v1h-5zM23 12h1v1h-1zM26 12h1v1h-1zM3 13h4v1h-4zM9 13h1v1h-1zM12 13h1v1h-1zM14 13h2v1h-2zM17 13h1v1h-1zM21 13h2v1h-2zM25 13h3v1h-3zM29 13h1v1h-1zM2 14h2v1h-2zM6 14h1v1h-1zM8 14h3v1h-3zM12 14h1v1h-1zM14 14h1v1h-1zM16 14h2v1h-2zM19 14h1v1h-1zM21 14h1v1h-1zM25 14h1v1h-1zM27 14h2v1h-2zM4 15h1v1h-1zM7 15h1v1h-1zM11 15h1v1h-1zM13 15h2v1h-2zM17 15h2v1h-2zM20 15h2v1h-2zM23 15h4v1h-4zM30 15h1v1h-1zM4 16h1v1h-1zM8 16h2v1h-2zM12 16h2v1h-2zM19 16h2v1h-2zM27 16h2v1h-2zM7 17h1v1h-1zM9 17h2v1h-2zM13 17h1v1h-1zM16 17h1v1h-1zM18 17h1v1h-1zM20 17h3v1h-3zM24 17h2v1h-2zM29 17h1v1h-1zM2 18h2v1h-2zM7 18h2v1h-2zM12 18h1v1h-1zM14 18h1v1h-1zM18 18h3v1h-3zM22 18h1v1h-1zM27 18h2v1h-2zM2 19h1v1h-1zM5 19h1v1h-1zM7 19h1v1h-1zM10 19h1v1h-1zM12 19h2v1h-2zM15 19h3v1h-3zM19 19h3v1h-3zM23 19h4v1h-4zM28 19h1v1h-1zM30 19h1v1h-1zM2 20h1v1h-1zM5 20h1v1h-1zM8 20h1v1h-1zM10 20h2v1h-2zM13 20h1v1h-1zM15 20h5v1h-5zM24 20h3v1h-3zM28 20h1v1h-1zM2 21h1v1h-1zM5 21h1v1h-1zM9 21h1v1h-1zM11 21h2v1h-2zM14 21h2v1h-2zM17 21h1v1h-1zM20 21h2v1h-2zM24 21h1v1h-1zM26 21h1v1h-1zM29 21h1v1h-1zM2 22h1v1h-1zM4 22h7v1h-7zM12 22h3v1h-3zM16 22h2v1h-2zM19 22h1v1h-1zM22 22h5v1h-5zM28 22h3v1h-3zM10 23h2v1h-2zM17 23h6v1h-6zM26 23h5v1h-5zM2 24h7v1h-7zM11 24h1v1h-1zM13 24h1v1h-1zM20 24h3v1h-3zM24 24h1v1h-1zM26 24h3v1h-3zM2 25h1v1h-1zM8 25h1v1h-1zM10 25h3v1h-3zM14 25h1v1h-1zM16 25h1v1h-1zM18 25h1v1h-1zM22 25h1v1h-1zM26 25h1v1h-1zM29 25h2v1h-2zM2 26h1v1h-1zM4 26h3v1h-3zM8 26h1v1h-1zM10 26h1v1h-1zM12 26h1v1h-1zM19 26h1v1h-1zM22 26h5v1h-5zM28 26h1v1h-1zM30 26h1v1h-1zM2 27h1v1h-1zM4 27h3v1h-3zM8 27h1v1h-1zM10 27h2v1h-2zM14 27h4v1h-4zM19 27h2v1h-2zM23 27h1v1h-1zM27 27h2v1h-2zM2 28h1v1h-1zM4 28h3v1h-3zM8 28h1v1h-1zM10 28h1v1h-1zM12 28h1v1h-1zM14 28h2v1h-2zM17 28h3v1h-3zM24 28h6v1h-6zM2 29h1v1h-1zM8 29h1v1h-1zM11 29h2v1h-2zM14 29h1v1h-1zM18 29h1v1h-1zM21 29h3v1h-3zM25 29h1v1h-1zM27 29h1v1h-1zM29 29h1v1h-1zM2 30h7v1h-7zM10 30h1v1h-1zM12 30h2v1h-2zM16 30h1v1h-1zM19 30h2v1h-2zM23 30h2v1h-2zM26 30h3v1h-3z" fill="#000"/&gt;&lt;/svg&gt;</t>
  </si>
  <si>
    <t xml:space="preserve">  &lt;a href="https://santago2026.github.io/"&gt;santago2026.github.io&lt;/a&gt;</t>
  </si>
  <si>
    <t xml:space="preserve">&lt;/div&gt;</t>
  </si>
  <si>
    <t xml:space="preserve">&lt;footer class="chiusura"&gt;</t>
  </si>
  <si>
    <t xml:space="preserve">&lt;/footer&gt;</t>
  </si>
  <si>
    <t xml:space="preserve">&lt;/body&gt;</t>
  </si>
  <si>
    <t xml:space="preserve">&lt;/html&gt;</t>
  </si>
  <si>
    <t xml:space="preserve">TESTI DEL MENU - modifica le celle gialle, il foglio 'Menu HTML' si aggiorna da solo</t>
  </si>
  <si>
    <t xml:space="preserve">Elemento</t>
  </si>
  <si>
    <t xml:space="preserve">Testo (modificabile)</t>
  </si>
  <si>
    <t xml:space="preserve">Note</t>
  </si>
  <si>
    <t xml:space="preserve">TESTATA</t>
  </si>
  <si>
    <t xml:space="preserve">Titolo della finestra del browser</t>
  </si>
  <si>
    <t xml:space="preserve">Menu · Festa di Sant'Agostino 2026</t>
  </si>
  <si>
    <t xml:space="preserve">Compare nella scheda del browser e nei preferiti.</t>
  </si>
  <si>
    <t xml:space="preserve">Occhiello (riga sopra il titolo)</t>
  </si>
  <si>
    <t xml:space="preserve">Parrocchia di Sant'Agostino · Ferrara</t>
  </si>
  <si>
    <t xml:space="preserve">Titolo - prima riga</t>
  </si>
  <si>
    <t xml:space="preserve">Festa di</t>
  </si>
  <si>
    <t xml:space="preserve">Titolo - seconda riga</t>
  </si>
  <si>
    <t xml:space="preserve">Sant'Agostino</t>
  </si>
  <si>
    <t xml:space="preserve">La riga grande.</t>
  </si>
  <si>
    <t xml:space="preserve">Titolo - terza riga (anno o date)</t>
  </si>
  <si>
    <t xml:space="preserve">2026</t>
  </si>
  <si>
    <t xml:space="preserve">Qui puoi mettere le date esatte, es. 27-30 agosto e 4-6 settembre.</t>
  </si>
  <si>
    <t xml:space="preserve">Sottotitolo - prima riga</t>
  </si>
  <si>
    <t xml:space="preserve">Due weekend di piadine e hamburger!!</t>
  </si>
  <si>
    <t xml:space="preserve">Sottotitolo - seconda riga</t>
  </si>
  <si>
    <t xml:space="preserve">Si ordina alla cassa e si ritirano le bevande.</t>
  </si>
  <si>
    <t xml:space="preserve">Lascia vuota per saltare la riga.</t>
  </si>
  <si>
    <t xml:space="preserve">Sottotitolo - terza riga</t>
  </si>
  <si>
    <t xml:space="preserve">Il cibo verrà servito al tavolo.</t>
  </si>
  <si>
    <t xml:space="preserve">SEZIONI DEL MENU</t>
  </si>
  <si>
    <t xml:space="preserve">Sezione 1 - nome</t>
  </si>
  <si>
    <t xml:space="preserve">Cucina</t>
  </si>
  <si>
    <t xml:space="preserve">Compare sull'insegna e nel menu di navigazione.</t>
  </si>
  <si>
    <t xml:space="preserve">Sezione 1 - descrizione</t>
  </si>
  <si>
    <t xml:space="preserve">Piadine e hamburger</t>
  </si>
  <si>
    <t xml:space="preserve">Sezione 2 - nome</t>
  </si>
  <si>
    <t xml:space="preserve">Fritti</t>
  </si>
  <si>
    <t xml:space="preserve">Sezione 2 - descrizione</t>
  </si>
  <si>
    <t xml:space="preserve">Dalla friggitrice</t>
  </si>
  <si>
    <t xml:space="preserve">Sezione 3 - nome</t>
  </si>
  <si>
    <t xml:space="preserve">Bevande</t>
  </si>
  <si>
    <t xml:space="preserve">Sezione 3 - descrizione</t>
  </si>
  <si>
    <t xml:space="preserve">Spina e bottiglia</t>
  </si>
  <si>
    <t xml:space="preserve">PIEDE PAGINA</t>
  </si>
  <si>
    <t xml:space="preserve">Piede - prima riga</t>
  </si>
  <si>
    <t xml:space="preserve">Prezzi in euro. Bicchieri e stoviglie compostabili.</t>
  </si>
  <si>
    <t xml:space="preserve">La parte dopo il primo punto viene messa in grassetto.</t>
  </si>
  <si>
    <t xml:space="preserve">Piede - seconda riga</t>
  </si>
  <si>
    <t xml:space="preserve">Grazie per fare la differenziata negli appositi contenitori.</t>
  </si>
  <si>
    <t xml:space="preserve">Dopo aver modificato questi testi, vai nel foglio 'Menu HTML', copia la colonna A e salvala come index.html.</t>
  </si>
  <si>
    <t xml:space="preserve">Note sui dati</t>
  </si>
  <si>
    <t xml:space="preserve">Fonte: schermate ordini fornitore (screenshot gestionale) per PARROCCHIA S. AGOSTINO VESCOVO DOTT.</t>
  </si>
  <si>
    <t xml:space="preserve">Ordine 05128912 - Inviato 12/08/2026 - Consegna 26/08/2026 (con PZ.500 ciotole compostabili)</t>
  </si>
  <si>
    <t xml:space="preserve">Ordine 04342413 - Aggiunta - Inviato 13/08/2026 - Consegna 14/08/2026</t>
  </si>
  <si>
    <t xml:space="preserve">'Pezzi per Collo' = quantita' di pezzi/unita' contenute in ogni CT (cartone), CF (confezione) o PZ (pezzo singolo, valore 1).</t>
  </si>
  <si>
    <t xml:space="preserve">'Prezzo Unitario Collo' = Prezzo Totale Netto / Qta Ordinata (prezzo di un singolo collo/cartone/confezione).</t>
  </si>
  <si>
    <t xml:space="preserve">'Costo per Pezzo' = Prezzo Unitario Collo / Pezzi per Collo (costo della singola unita' venduta, usato come base per il costo dei prodotti finiti).</t>
  </si>
  <si>
    <t xml:space="preserve">Verificare 'Pezzi per Collo' per gli articoli PZ (es. ketchup mono, maionese mono, prosciutto): il valore 1 assume che il prezzo si riferisca gia' alla singola confezione/pezzo mostrato in foto; da confermare con il fornitore se necessario.</t>
  </si>
  <si>
    <t xml:space="preserve">Codice</t>
  </si>
  <si>
    <t xml:space="preserve">Articolo</t>
  </si>
  <si>
    <t xml:space="preserve">UM</t>
  </si>
  <si>
    <t xml:space="preserve">Pezzi per Collo</t>
  </si>
  <si>
    <t xml:space="preserve">Qta Ordinata (Collo)</t>
  </si>
  <si>
    <t xml:space="preserve">Prezzo Totale Netto (€)</t>
  </si>
  <si>
    <t xml:space="preserve">Prezzo Unitario Collo (€)</t>
  </si>
  <si>
    <t xml:space="preserve">Costo per Pezzo (€)</t>
  </si>
  <si>
    <t xml:space="preserve">Ordine</t>
  </si>
  <si>
    <t xml:space="preserve">Colonna 'Prezzo Totale Netto' rappresenta:</t>
  </si>
  <si>
    <t xml:space="preserve">Prezzo unitario per collo</t>
  </si>
  <si>
    <t xml:space="preserve">Categoria IVA</t>
  </si>
  <si>
    <t xml:space="preserve">Aliquota IVA</t>
  </si>
  <si>
    <t xml:space="preserve">Prezzo Totale con IVA (€)</t>
  </si>
  <si>
    <t xml:space="preserve">56833</t>
  </si>
  <si>
    <t xml:space="preserve">SOFT SOFT TOVAGLIOLI 38X38 BIANCHI X35 (COD.EAN 8057438681150)</t>
  </si>
  <si>
    <t xml:space="preserve">CT</t>
  </si>
  <si>
    <t xml:space="preserve">05128912</t>
  </si>
  <si>
    <t xml:space="preserve">14/08/2026</t>
  </si>
  <si>
    <t xml:space="preserve">Altro</t>
  </si>
  <si>
    <t xml:space="preserve">92869</t>
  </si>
  <si>
    <t xml:space="preserve">OLITALIA OLIO GIRASOLE ALTOLEICO LT.10</t>
  </si>
  <si>
    <t xml:space="preserve">34654</t>
  </si>
  <si>
    <t xml:space="preserve">BOTTARI SPIEDINI IN BAMBOO 25CM X 50 (COD.EAN 8016038983828)</t>
  </si>
  <si>
    <t xml:space="preserve">CF</t>
  </si>
  <si>
    <t xml:space="preserve">93150</t>
  </si>
  <si>
    <t xml:space="preserve">PIATTI PIANI PZ 50 PRESTO PRESTO (COD.EAN 8032532739044)</t>
  </si>
  <si>
    <t xml:space="preserve">95822</t>
  </si>
  <si>
    <t xml:space="preserve">ASTOR TOVAGLIETTE BIANCHE 30X40 X 200 PZ (EAN 8000875002521)</t>
  </si>
  <si>
    <t xml:space="preserve">PZ</t>
  </si>
  <si>
    <t xml:space="preserve">95365</t>
  </si>
  <si>
    <t xml:space="preserve">BIFFI KETCHUP MONO GR.10 X 132 BS.</t>
  </si>
  <si>
    <t xml:space="preserve">95408</t>
  </si>
  <si>
    <t xml:space="preserve">BIFFI MAIONESE MONO GR.10 X 132 PZ.</t>
  </si>
  <si>
    <t xml:space="preserve">84468</t>
  </si>
  <si>
    <t xml:space="preserve">MEZZO PROSC. COTTO NEGRINI VAI PADUSE</t>
  </si>
  <si>
    <t xml:space="preserve">Salumi</t>
  </si>
  <si>
    <t xml:space="preserve">95551</t>
  </si>
  <si>
    <t xml:space="preserve">PIADINA FRESCA ARTIGIANALE X 3 PZ. 300GR</t>
  </si>
  <si>
    <t xml:space="preserve">Pane/Piadina</t>
  </si>
  <si>
    <t xml:space="preserve">83106</t>
  </si>
  <si>
    <t xml:space="preserve">ZARPELLON EDAMER FETTE 40% KG 1 (COD.FAN 8002226002587)</t>
  </si>
  <si>
    <t xml:space="preserve">Formaggio</t>
  </si>
  <si>
    <t xml:space="preserve">84501</t>
  </si>
  <si>
    <t xml:space="preserve">NEGRINI SALAME FERRARESE GRAN ZIA</t>
  </si>
  <si>
    <t xml:space="preserve">84480</t>
  </si>
  <si>
    <t xml:space="preserve">BRUGNOLO CRUDO NAZIONALE RISERVA ADDOBBO (COD.EAN 2003742016603)</t>
  </si>
  <si>
    <t xml:space="preserve">40982</t>
  </si>
  <si>
    <t xml:space="preserve">GARDAPAN PAGNOTTINE SESAMO GR.300 (COD.EAN 8000744000344)</t>
  </si>
  <si>
    <t xml:space="preserve">04342413</t>
  </si>
  <si>
    <t xml:space="preserve">Totale Imponibile:</t>
  </si>
  <si>
    <t xml:space="preserve">Fornitore</t>
  </si>
  <si>
    <t xml:space="preserve">Formato</t>
  </si>
  <si>
    <t xml:space="preserve">Unita' elementare</t>
  </si>
  <si>
    <t xml:space="preserve">Quantita' per collo
(in unita' elementari)</t>
  </si>
  <si>
    <t xml:space="preserve">Prezzo Collo IVA Esclusa (€)</t>
  </si>
  <si>
    <t xml:space="preserve">Prezzo Collo con IVA (€)</t>
  </si>
  <si>
    <t xml:space="preserve">Prezzo per unita' elementare (€)</t>
  </si>
  <si>
    <t xml:space="preserve">Birra Falkenturm Export Hell</t>
  </si>
  <si>
    <t xml:space="preserve">Barozzi Bevande</t>
  </si>
  <si>
    <t xml:space="preserve">Fusto LT.20 VOL 5,1%</t>
  </si>
  <si>
    <t xml:space="preserve">1 litro</t>
  </si>
  <si>
    <t xml:space="preserve">Birra Vikingen Alt Dunkel Rossa</t>
  </si>
  <si>
    <t xml:space="preserve">Fusto LT.15.3 VOL 5,1%</t>
  </si>
  <si>
    <t xml:space="preserve">Vino Glera Bianco IGT Maccari Ca' Vigna</t>
  </si>
  <si>
    <t xml:space="preserve">Fusto LT.25</t>
  </si>
  <si>
    <t xml:space="preserve">Coca Cola Premix</t>
  </si>
  <si>
    <t xml:space="preserve">Fusto LT.18</t>
  </si>
  <si>
    <t xml:space="preserve">Bicchiere Compostabile ISAP P300cc (tacca 0.2L)</t>
  </si>
  <si>
    <t xml:space="preserve">Fila x50</t>
  </si>
  <si>
    <t xml:space="preserve">1 bicchiere</t>
  </si>
  <si>
    <t xml:space="preserve">Bicchiere Compostabile ISAP P500cc (tacca 0.40L)</t>
  </si>
  <si>
    <t xml:space="preserve">The Lipton Limone</t>
  </si>
  <si>
    <t xml:space="preserve">Cartone 24 latt. 0.33L</t>
  </si>
  <si>
    <t xml:space="preserve">1 lattina (0,33L)</t>
  </si>
  <si>
    <t xml:space="preserve">The Lipton Pesca</t>
  </si>
  <si>
    <t xml:space="preserve">Bicchiere Compostabile ISAP P400cc (tacca 0.3L)</t>
  </si>
  <si>
    <t xml:space="preserve">Aperol 11%</t>
  </si>
  <si>
    <t xml:space="preserve">Bottiglia LT.1</t>
  </si>
  <si>
    <t xml:space="preserve">Bitter Campari 25%</t>
  </si>
  <si>
    <t xml:space="preserve">Sprite Lattina 0,33L</t>
  </si>
  <si>
    <t xml:space="preserve">Coca Cola Senza Caffeina Lattina 0,33L</t>
  </si>
  <si>
    <t xml:space="preserve">Marca</t>
  </si>
  <si>
    <t xml:space="preserve">Cod.Art</t>
  </si>
  <si>
    <t xml:space="preserve">Qta per collo</t>
  </si>
  <si>
    <t xml:space="preserve">Prezzo Collo IVA INCLUSA (€)</t>
  </si>
  <si>
    <t xml:space="preserve">Acqua Naturale Beber 0,5L</t>
  </si>
  <si>
    <t xml:space="preserve">BEBER</t>
  </si>
  <si>
    <t xml:space="preserve">0275944</t>
  </si>
  <si>
    <t xml:space="preserve">ML.500 x 12 PZ</t>
  </si>
  <si>
    <t xml:space="preserve">1 bottiglia (0,5L)</t>
  </si>
  <si>
    <t xml:space="preserve">Acqua Frizzante Beber 0,5L</t>
  </si>
  <si>
    <t xml:space="preserve">0275947</t>
  </si>
  <si>
    <t xml:space="preserve">Patatine Fritte Surgelate Ecofrost</t>
  </si>
  <si>
    <t xml:space="preserve">ECOFROST</t>
  </si>
  <si>
    <t xml:space="preserve">0151329</t>
  </si>
  <si>
    <t xml:space="preserve">KG. 2,5</t>
  </si>
  <si>
    <t xml:space="preserve">1 kg</t>
  </si>
  <si>
    <t xml:space="preserve">Ghiaccio a Cubetti Easy Ice</t>
  </si>
  <si>
    <t xml:space="preserve">EASY ICE</t>
  </si>
  <si>
    <t xml:space="preserve">0207504</t>
  </si>
  <si>
    <t xml:space="preserve">KG. 2</t>
  </si>
  <si>
    <t xml:space="preserve">Anelli di Cipolla Pastellati</t>
  </si>
  <si>
    <t xml:space="preserve">L'ASCOLANA</t>
  </si>
  <si>
    <t xml:space="preserve">0201103</t>
  </si>
  <si>
    <t xml:space="preserve">GR. 400</t>
  </si>
  <si>
    <t xml:space="preserve">Olive all'Ascolana</t>
  </si>
  <si>
    <t xml:space="preserve">REGEL</t>
  </si>
  <si>
    <t xml:space="preserve">0168576</t>
  </si>
  <si>
    <t xml:space="preserve">GR. 500</t>
  </si>
  <si>
    <t xml:space="preserve">Prezzo Unitario Collo (€)
[da Materie Prime]</t>
  </si>
  <si>
    <t xml:space="preserve">Olio Girasole Altoleico (LT.10 x2 per CT)</t>
  </si>
  <si>
    <t xml:space="preserve">20 litri per CT (2 taniche da 10L)</t>
  </si>
  <si>
    <t xml:space="preserve">Biffi Ketchup mono 10g x132</t>
  </si>
  <si>
    <t xml:space="preserve">1 bustina (10g)</t>
  </si>
  <si>
    <t xml:space="preserve">132 bustine per confezione</t>
  </si>
  <si>
    <t xml:space="preserve">Biffi Maionese mono 10g x132</t>
  </si>
  <si>
    <t xml:space="preserve">Mezzo Prosciutto Cotto Negrini</t>
  </si>
  <si>
    <t xml:space="preserve">100 g</t>
  </si>
  <si>
    <t xml:space="preserve">Prezzo con IVA (10% salumi), gia' al kg; 10 unita' da 100g per kg</t>
  </si>
  <si>
    <t xml:space="preserve">Piadina Fresca Artigianale (x3, 300g)</t>
  </si>
  <si>
    <t xml:space="preserve">1 piadina</t>
  </si>
  <si>
    <t xml:space="preserve">Confermato: 8 confezioni x 3 piadine = 24 piadine per cartone (27 cartoni ordinati)</t>
  </si>
  <si>
    <t xml:space="preserve">Zarpellon Edamer fette 40% (KG1)</t>
  </si>
  <si>
    <t xml:space="preserve">Prezzo con IVA 10% (formaggio)</t>
  </si>
  <si>
    <t xml:space="preserve">Negrini Salame Ferrarese Gran Zia</t>
  </si>
  <si>
    <t xml:space="preserve">Brugnolo Crudo Naz. Riserva Addobbo</t>
  </si>
  <si>
    <t xml:space="preserve">Gardapan Pagnottine Sesamo (GR.300)</t>
  </si>
  <si>
    <t xml:space="preserve">1 pagnottina</t>
  </si>
  <si>
    <t xml:space="preserve">CONFERMATO: 7 sacchetti x 4 panini = 28 pagnottine per cartone (7 cartoni ordinati = 196 panini totali).</t>
  </si>
  <si>
    <t xml:space="preserve">Soft Soft Tovaglioli 38x38 (X35)</t>
  </si>
  <si>
    <t xml:space="preserve">1 tovagliolo</t>
  </si>
  <si>
    <t xml:space="preserve">Ipotesi: 48 pacchetti x 35 tovaglioli = 1680 per cartone. Da confermare.</t>
  </si>
  <si>
    <t xml:space="preserve">Piatti Piani PZ50 Presto Presto</t>
  </si>
  <si>
    <t xml:space="preserve">1 piatto</t>
  </si>
  <si>
    <t xml:space="preserve">Ipotesi: 20 pacchetti x 50 piatti = 1000 per cartone. Da confermare.</t>
  </si>
  <si>
    <t xml:space="preserve">Bottari Spiedini Bamboo 25cm (x50)</t>
  </si>
  <si>
    <t xml:space="preserve">1 stecchino</t>
  </si>
  <si>
    <t xml:space="preserve">Ipotesi: 12 confezioni x 50 stecchini = 600 per collo. Da confermare.</t>
  </si>
  <si>
    <t xml:space="preserve">COMPOSIZIONE PIADINE</t>
  </si>
  <si>
    <t xml:space="preserve">Ripieno totale per piadina (g)</t>
  </si>
  <si>
    <t xml:space="preserve">Quota salume quando c'e' formaggio (%)</t>
  </si>
  <si>
    <t xml:space="preserve">Grammi salume senza formaggio</t>
  </si>
  <si>
    <t xml:space="preserve">Grammi salume con formaggio</t>
  </si>
  <si>
    <t xml:space="preserve">Grammi formaggio con salume</t>
  </si>
  <si>
    <t xml:space="preserve">Grammi formaggio da solo</t>
  </si>
  <si>
    <t xml:space="preserve">COMPOSIZIONE PATATINE FRITTE</t>
  </si>
  <si>
    <t xml:space="preserve">Grammi patatine surgelate per porzione</t>
  </si>
  <si>
    <t xml:space="preserve">Olio assorbito (% del peso)</t>
  </si>
  <si>
    <t xml:space="preserve">Densita' olio (kg/L)</t>
  </si>
  <si>
    <t xml:space="preserve">Olio assorbito per porzione (ml)</t>
  </si>
  <si>
    <t xml:space="preserve">N. piatti per porzione</t>
  </si>
  <si>
    <t xml:space="preserve">N. tovaglioli per porzione</t>
  </si>
  <si>
    <t xml:space="preserve">N. bustine ketchup per porzione</t>
  </si>
  <si>
    <t xml:space="preserve">N. bustine maionese per porzione</t>
  </si>
  <si>
    <t xml:space="preserve">N. stecchini per porzione</t>
  </si>
  <si>
    <t xml:space="preserve">COMPOSIZIONE SPRITZ</t>
  </si>
  <si>
    <t xml:space="preserve">Volume bicchiere servito (ml)</t>
  </si>
  <si>
    <t xml:space="preserve">N. cubetti ghiaccio</t>
  </si>
  <si>
    <t xml:space="preserve">Volume per cubetto (ml)</t>
  </si>
  <si>
    <t xml:space="preserve">Peso per cubetto (g)</t>
  </si>
  <si>
    <t xml:space="preserve">Volume ghiaccio (ml)</t>
  </si>
  <si>
    <t xml:space="preserve">Volume liquido effettivo (ml)</t>
  </si>
  <si>
    <t xml:space="preserve">Parti vino</t>
  </si>
  <si>
    <t xml:space="preserve">Parti liquore</t>
  </si>
  <si>
    <t xml:space="preserve">Vino per bicchiere (ml)</t>
  </si>
  <si>
    <t xml:space="preserve">Liquore per bicchiere (ml)</t>
  </si>
  <si>
    <t xml:space="preserve">Ghiaccio per bicchiere (g)</t>
  </si>
  <si>
    <t xml:space="preserve">CO2 (SPINA)</t>
  </si>
  <si>
    <t xml:space="preserve">N. bombole 5kg usate 2025</t>
  </si>
  <si>
    <t xml:space="preserve">Prezzo bombola 5kg IVA escl. (€)</t>
  </si>
  <si>
    <t xml:space="preserve">Costo CO2 totale 2025 con IVA (€)</t>
  </si>
  <si>
    <t xml:space="preserve">Litri spillati 2025 (da vendite reali)</t>
  </si>
  <si>
    <t xml:space="preserve">Costo CO2 per litro (€)</t>
  </si>
  <si>
    <t xml:space="preserve">PREVISIONE 2026</t>
  </si>
  <si>
    <t xml:space="preserve">Giornate 2025</t>
  </si>
  <si>
    <t xml:space="preserve">Giornate 2026 (7: gio-dom + ven-dom)</t>
  </si>
  <si>
    <t xml:space="preserve">Fattore di scala (da litri previsti)</t>
  </si>
  <si>
    <t xml:space="preserve">Litri spillati previsti 2026</t>
  </si>
  <si>
    <t xml:space="preserve">Bombole 5kg da prevedere</t>
  </si>
  <si>
    <t xml:space="preserve">COMPOSIZIONE HAMBURGER</t>
  </si>
  <si>
    <t xml:space="preserve">Costo carne al pezzo (€)</t>
  </si>
  <si>
    <t xml:space="preserve">Sacchetti pagnottine per cartone (confermato)</t>
  </si>
  <si>
    <t xml:space="preserve">Pagnottine per sacchetto (confermato)</t>
  </si>
  <si>
    <t xml:space="preserve">Costo cottura + insalata + pomodoro (€)</t>
  </si>
  <si>
    <t xml:space="preserve">Grammi formaggio (1 fetta)</t>
  </si>
  <si>
    <t xml:space="preserve">N. piatti per hamburger</t>
  </si>
  <si>
    <t xml:space="preserve">N. tovaglioli per hamburger</t>
  </si>
  <si>
    <t xml:space="preserve">N. bustine ketchup per hamburger</t>
  </si>
  <si>
    <t xml:space="preserve">N. bustine maionese per hamburger</t>
  </si>
  <si>
    <t xml:space="preserve">N. stecchini per hamburger</t>
  </si>
  <si>
    <t xml:space="preserve">COMPOSIZIONE ANELLI DI CIPOLLA</t>
  </si>
  <si>
    <t xml:space="preserve">Grammi per porzione</t>
  </si>
  <si>
    <t xml:space="preserve">N. piatti</t>
  </si>
  <si>
    <t xml:space="preserve">N. tovaglioli</t>
  </si>
  <si>
    <t xml:space="preserve">N. bustine ketchup</t>
  </si>
  <si>
    <t xml:space="preserve">N. bustine maionese</t>
  </si>
  <si>
    <t xml:space="preserve">N. stecchini</t>
  </si>
  <si>
    <t xml:space="preserve">COMPOSIZIONE OLIVE ASCOLANE</t>
  </si>
  <si>
    <t xml:space="preserve">ACCESSORI PIADINE</t>
  </si>
  <si>
    <t xml:space="preserve">N. piatti per piadina</t>
  </si>
  <si>
    <t xml:space="preserve">N. tovaglioli per piadina</t>
  </si>
  <si>
    <t xml:space="preserve">COMPOSIZIONE COMBO HAMBURGER + PATATINE</t>
  </si>
  <si>
    <t xml:space="preserve">Grammi patatine nella combo</t>
  </si>
  <si>
    <t xml:space="preserve">28/08</t>
  </si>
  <si>
    <t xml:space="preserve">29/08</t>
  </si>
  <si>
    <t xml:space="preserve">30/08</t>
  </si>
  <si>
    <t xml:space="preserve">31/08</t>
  </si>
  <si>
    <t xml:space="preserve">Totale Pezzi</t>
  </si>
  <si>
    <t xml:space="preserve">Prezzo Un. 2025 (€)</t>
  </si>
  <si>
    <t xml:space="preserve">Incasso (€)</t>
  </si>
  <si>
    <t xml:space="preserve">Litri alla spina per pezzo</t>
  </si>
  <si>
    <t xml:space="preserve">Litri Totali Spina</t>
  </si>
  <si>
    <t xml:space="preserve">Fonte: Report vendite SAGRA SANT-AGOSTINO 28-31/08/2025 (4 giornate). 'Litri alla spina' considera solo birra, coca premix e vino da fusto (spritz: solo la quota vino).</t>
  </si>
  <si>
    <t xml:space="preserve">MODELLO COMBO HAMBURGER + PATATINE - fornitore con costo fisso a serata</t>
  </si>
  <si>
    <t xml:space="preserve">DATI DA CONTRATTARE (celle gialle)</t>
  </si>
  <si>
    <t xml:space="preserve">Costo fornitore per hamburger (€)</t>
  </si>
  <si>
    <t xml:space="preserve">Costo fisso per serata (€)</t>
  </si>
  <si>
    <t xml:space="preserve">Serate con hamburger</t>
  </si>
  <si>
    <t xml:space="preserve">Combo vendute in totale</t>
  </si>
  <si>
    <t xml:space="preserve">Prezzo di vendita combo (€)</t>
  </si>
  <si>
    <t xml:space="preserve">COSTO VARIABILE PER PEZZO</t>
  </si>
  <si>
    <t xml:space="preserve">Fornitore (carne, cottura, verdure)</t>
  </si>
  <si>
    <t xml:space="preserve">Pagnottina</t>
  </si>
  <si>
    <t xml:space="preserve">Patatine surgelate</t>
  </si>
  <si>
    <t xml:space="preserve">Olio di frittura</t>
  </si>
  <si>
    <t xml:space="preserve">Ketchup + maionese</t>
  </si>
  <si>
    <t xml:space="preserve">Stecchini</t>
  </si>
  <si>
    <t xml:space="preserve">Piatti</t>
  </si>
  <si>
    <t xml:space="preserve">Tovaglioli</t>
  </si>
  <si>
    <t xml:space="preserve">COSTO VARIABILE TOTALE</t>
  </si>
  <si>
    <t xml:space="preserve">RISULTATO ECONOMICO</t>
  </si>
  <si>
    <t xml:space="preserve">Margine di contribuzione per pezzo (€)</t>
  </si>
  <si>
    <t xml:space="preserve">Costi fissi totali (€)</t>
  </si>
  <si>
    <t xml:space="preserve">Ricavo totale (€)</t>
  </si>
  <si>
    <t xml:space="preserve">Costi variabili totali (€)</t>
  </si>
  <si>
    <t xml:space="preserve">UTILE (€)</t>
  </si>
  <si>
    <t xml:space="preserve">Margine sul ricavo (%)</t>
  </si>
  <si>
    <t xml:space="preserve">PAREGGIO: combo da vendere</t>
  </si>
  <si>
    <t xml:space="preserve">TENUTA PER SINGOLA SERATA (proiezione dai volumi 2025)</t>
  </si>
  <si>
    <t xml:space="preserve">Serata</t>
  </si>
  <si>
    <t xml:space="preserve">Peso sulle vendite 2025</t>
  </si>
  <si>
    <t xml:space="preserve">Hamburger stimati</t>
  </si>
  <si>
    <t xml:space="preserve">Margine di contribuzione (€)</t>
  </si>
  <si>
    <t xml:space="preserve">Costo fisso (€)</t>
  </si>
  <si>
    <t xml:space="preserve">Risultato serata (€)</t>
  </si>
  <si>
    <t xml:space="preserve">WE1 giovedi</t>
  </si>
  <si>
    <t xml:space="preserve">WE1 venerdi</t>
  </si>
  <si>
    <t xml:space="preserve">WE1 sabato</t>
  </si>
  <si>
    <t xml:space="preserve">WE1 domenica</t>
  </si>
  <si>
    <t xml:space="preserve">WE2 venerdi</t>
  </si>
  <si>
    <t xml:space="preserve">WE2 sabato</t>
  </si>
  <si>
    <t xml:space="preserve">WE2 domenica</t>
  </si>
  <si>
    <t xml:space="preserve">SCENARI DI PREZZO E VOLUME (utile in €)</t>
  </si>
  <si>
    <t xml:space="preserve">Prezzo \ Pezzi venduti</t>
  </si>
  <si>
    <t xml:space="preserve">Il costo fisso di 120 €/serata non dipende dai pezzi: nelle serate deboli va coperto comunque.</t>
  </si>
  <si>
    <t xml:space="preserve">Riducendo 'Serate con hamburger' (es. a 4, solo sab-dom) si abbassa il rischio: modifica la cella gialla B6.</t>
  </si>
  <si>
    <t xml:space="preserve">ATTENZIONE: ogni combo che sostituisce una piadina toglie 2,93-3,53 € di margine senza costi fissi.</t>
  </si>
  <si>
    <t xml:space="preserve">VALUTAZIONE - prodotti non ancora inseriti nel menu</t>
  </si>
  <si>
    <t xml:space="preserve">PARAMETRI PORZIONE</t>
  </si>
  <si>
    <t xml:space="preserve">Parametro</t>
  </si>
  <si>
    <t xml:space="preserve">Anelli di cipolla</t>
  </si>
  <si>
    <t xml:space="preserve">Olive ascolane</t>
  </si>
  <si>
    <t xml:space="preserve">COSTO PER PORZIONE</t>
  </si>
  <si>
    <t xml:space="preserve">Voce di costo</t>
  </si>
  <si>
    <t xml:space="preserve">Prodotto surgelato</t>
  </si>
  <si>
    <t xml:space="preserve">Piatto</t>
  </si>
  <si>
    <t xml:space="preserve">Tovagliolo</t>
  </si>
  <si>
    <t xml:space="preserve">COSTO TOTALE</t>
  </si>
  <si>
    <t xml:space="preserve">MARGINE AI VARI PREZZI DI VENDITA</t>
  </si>
  <si>
    <t xml:space="preserve">Prezzo di vendita</t>
  </si>
  <si>
    <t xml:space="preserve">Anelli: margine €</t>
  </si>
  <si>
    <t xml:space="preserve">Anelli: margine %</t>
  </si>
  <si>
    <t xml:space="preserve">Olive: margine €</t>
  </si>
  <si>
    <t xml:space="preserve">Olive: margine %</t>
  </si>
  <si>
    <t xml:space="preserve">Confronto: le patatine fritte costano 0,69 € e si vendono a 3,00 € (77% di margine).</t>
  </si>
  <si>
    <t xml:space="preserve">Prezzi IperTosano gia' IVA inclusa. Grammature per porzione da verificare: sono stime.</t>
  </si>
  <si>
    <t xml:space="preserve">Questi due prodotti NON sono nel foglio 'Prodotti Finiti' ne' nel menu HTML.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</si>
</sst>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€#,##0.00"/>
    <numFmt numFmtId="166" formatCode="0.0%"/>
    <numFmt numFmtId="167" formatCode="General"/>
    <numFmt numFmtId="168" formatCode="0"/>
    <numFmt numFmtId="169" formatCode="0.00"/>
    <numFmt numFmtId="170" formatCode="0.0"/>
    <numFmt numFmtId="171" formatCode="\€#,##0.000"/>
    <numFmt numFmtId="172" formatCode="0%"/>
    <numFmt numFmtId="173" formatCode="\€#,##0.0000"/>
    <numFmt numFmtId="174" formatCode="0.000"/>
    <numFmt numFmtId="175" formatCode="\€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Courier New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DEDED"/>
      </patternFill>
    </fill>
    <fill>
      <patternFill patternType="solid">
        <fgColor rgb="FFFFD9A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D9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21" min="4" style="1" width="12"/>
    <col collapsed="false" customWidth="true" hidden="false" outlineLevel="0" max="22" min="22" style="1" width="34"/>
    <col collapsed="false" customWidth="true" hidden="false" outlineLevel="0" max="23" min="23" style="1" width="52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true" outlineLevel="0" collapsed="false">
      <c r="A2" s="3" t="s">
        <v>23</v>
      </c>
      <c r="B2" s="4" t="n">
        <v>5.5</v>
      </c>
      <c r="C2" s="5" t="n">
        <f aca="false">SUM(D2:S2)</f>
        <v>2.16131542857143</v>
      </c>
      <c r="D2" s="6" t="n">
        <f aca="false">'Prezzi Unitari'!$E$6</f>
        <v>0.6552</v>
      </c>
      <c r="E2" s="7"/>
      <c r="F2" s="7"/>
      <c r="G2" s="6" t="n">
        <f aca="false">Parametri!$B$4/100*'Prezzi Unitari'!$E$9</f>
        <v>1.4135</v>
      </c>
      <c r="H2" s="7"/>
      <c r="I2" s="7"/>
      <c r="J2" s="7"/>
      <c r="K2" s="7"/>
      <c r="L2" s="7"/>
      <c r="M2" s="6" t="n">
        <f aca="false">'Prezzi Unitari'!$E$12</f>
        <v>0.058804</v>
      </c>
      <c r="N2" s="6" t="n">
        <f aca="false">'Prezzi Unitari'!$E$11</f>
        <v>0.0338114285714286</v>
      </c>
      <c r="O2" s="7"/>
      <c r="P2" s="7"/>
      <c r="Q2" s="7"/>
      <c r="R2" s="7"/>
      <c r="S2" s="7"/>
      <c r="T2" s="6" t="n">
        <f aca="false">B2-C2</f>
        <v>3.33868457142857</v>
      </c>
      <c r="U2" s="8" t="n">
        <f aca="false">T2/B2</f>
        <v>0.607033558441558</v>
      </c>
      <c r="V2" s="9" t="s">
        <v>24</v>
      </c>
      <c r="W2" s="10"/>
    </row>
    <row r="3" customFormat="false" ht="26.25" hidden="false" customHeight="true" outlineLevel="0" collapsed="false">
      <c r="A3" s="3" t="s">
        <v>25</v>
      </c>
      <c r="B3" s="4" t="n">
        <v>5.5</v>
      </c>
      <c r="C3" s="5" t="n">
        <f aca="false">SUM(D3:S3)</f>
        <v>2.02337542857143</v>
      </c>
      <c r="D3" s="6" t="n">
        <f aca="false">'Prezzi Unitari'!$E$6</f>
        <v>0.6552</v>
      </c>
      <c r="E3" s="7"/>
      <c r="F3" s="7"/>
      <c r="G3" s="6" t="n">
        <f aca="false">Parametri!$B$5/100*'Prezzi Unitari'!$E$9</f>
        <v>1.1308</v>
      </c>
      <c r="H3" s="6" t="n">
        <f aca="false">Parametri!$B$6/100*'Prezzi Unitari'!$E$7</f>
        <v>0.14476</v>
      </c>
      <c r="I3" s="7"/>
      <c r="J3" s="7"/>
      <c r="K3" s="7"/>
      <c r="L3" s="7"/>
      <c r="M3" s="6" t="n">
        <f aca="false">'Prezzi Unitari'!$E$12</f>
        <v>0.058804</v>
      </c>
      <c r="N3" s="6" t="n">
        <f aca="false">'Prezzi Unitari'!$E$11</f>
        <v>0.0338114285714286</v>
      </c>
      <c r="O3" s="7"/>
      <c r="P3" s="7"/>
      <c r="Q3" s="7"/>
      <c r="R3" s="7"/>
      <c r="S3" s="7"/>
      <c r="T3" s="6" t="n">
        <f aca="false">B3-C3</f>
        <v>3.47662457142857</v>
      </c>
      <c r="U3" s="8" t="n">
        <f aca="false">T3/B3</f>
        <v>0.632113558441558</v>
      </c>
      <c r="V3" s="9" t="s">
        <v>26</v>
      </c>
      <c r="W3" s="10"/>
    </row>
    <row r="4" customFormat="false" ht="15" hidden="false" customHeight="true" outlineLevel="0" collapsed="false">
      <c r="A4" s="3" t="s">
        <v>27</v>
      </c>
      <c r="B4" s="6" t="n">
        <v>5</v>
      </c>
      <c r="C4" s="5" t="n">
        <f aca="false">SUM(D4:S4)</f>
        <v>1.89181542857143</v>
      </c>
      <c r="D4" s="6" t="n">
        <f aca="false">'Prezzi Unitari'!$E$6</f>
        <v>0.6552</v>
      </c>
      <c r="E4" s="7"/>
      <c r="F4" s="7"/>
      <c r="G4" s="6" t="n">
        <f aca="false">Parametri!$B$4/100*'Prezzi Unitari'!$E$5</f>
        <v>1.144</v>
      </c>
      <c r="H4" s="7"/>
      <c r="I4" s="7"/>
      <c r="J4" s="7"/>
      <c r="K4" s="7"/>
      <c r="L4" s="7"/>
      <c r="M4" s="6" t="n">
        <f aca="false">'Prezzi Unitari'!$E$12</f>
        <v>0.058804</v>
      </c>
      <c r="N4" s="6" t="n">
        <f aca="false">'Prezzi Unitari'!$E$11</f>
        <v>0.0338114285714286</v>
      </c>
      <c r="O4" s="7"/>
      <c r="P4" s="7"/>
      <c r="Q4" s="7"/>
      <c r="R4" s="7"/>
      <c r="S4" s="7"/>
      <c r="T4" s="6" t="n">
        <f aca="false">B4-C4</f>
        <v>3.10818457142857</v>
      </c>
      <c r="U4" s="8" t="n">
        <f aca="false">T4/B4</f>
        <v>0.621636914285714</v>
      </c>
      <c r="V4" s="9" t="s">
        <v>28</v>
      </c>
      <c r="W4" s="10"/>
    </row>
    <row r="5" customFormat="false" ht="15" hidden="false" customHeight="true" outlineLevel="0" collapsed="false">
      <c r="A5" s="3" t="s">
        <v>29</v>
      </c>
      <c r="B5" s="6" t="n">
        <v>5</v>
      </c>
      <c r="C5" s="5" t="n">
        <f aca="false">SUM(D5:S5)</f>
        <v>1.80777542857143</v>
      </c>
      <c r="D5" s="6" t="n">
        <f aca="false">'Prezzi Unitari'!$E$6</f>
        <v>0.6552</v>
      </c>
      <c r="E5" s="7"/>
      <c r="F5" s="7"/>
      <c r="G5" s="6" t="n">
        <f aca="false">Parametri!$B$5/100*'Prezzi Unitari'!$E$5</f>
        <v>0.9152</v>
      </c>
      <c r="H5" s="6" t="n">
        <f aca="false">Parametri!$B$6/100*'Prezzi Unitari'!$E$7</f>
        <v>0.14476</v>
      </c>
      <c r="I5" s="7"/>
      <c r="J5" s="7"/>
      <c r="K5" s="7"/>
      <c r="L5" s="7"/>
      <c r="M5" s="6" t="n">
        <f aca="false">'Prezzi Unitari'!$E$12</f>
        <v>0.058804</v>
      </c>
      <c r="N5" s="6" t="n">
        <f aca="false">'Prezzi Unitari'!$E$11</f>
        <v>0.0338114285714286</v>
      </c>
      <c r="O5" s="7"/>
      <c r="P5" s="7"/>
      <c r="Q5" s="7"/>
      <c r="R5" s="7"/>
      <c r="S5" s="7"/>
      <c r="T5" s="6" t="n">
        <f aca="false">B5-C5</f>
        <v>3.19222457142857</v>
      </c>
      <c r="U5" s="8" t="n">
        <f aca="false">T5/B5</f>
        <v>0.638444914285714</v>
      </c>
      <c r="V5" s="9" t="s">
        <v>30</v>
      </c>
      <c r="W5" s="10"/>
    </row>
    <row r="6" customFormat="false" ht="15" hidden="false" customHeight="true" outlineLevel="0" collapsed="false">
      <c r="A6" s="3" t="s">
        <v>31</v>
      </c>
      <c r="B6" s="4" t="n">
        <v>5.5</v>
      </c>
      <c r="C6" s="5" t="n">
        <f aca="false">SUM(D6:S6)</f>
        <v>2.16681542857143</v>
      </c>
      <c r="D6" s="6" t="n">
        <f aca="false">'Prezzi Unitari'!$E$6</f>
        <v>0.6552</v>
      </c>
      <c r="E6" s="7"/>
      <c r="F6" s="7"/>
      <c r="G6" s="6" t="n">
        <f aca="false">Parametri!$B$4/100*'Prezzi Unitari'!$E$8</f>
        <v>1.419</v>
      </c>
      <c r="H6" s="7"/>
      <c r="I6" s="7"/>
      <c r="J6" s="7"/>
      <c r="K6" s="7"/>
      <c r="L6" s="7"/>
      <c r="M6" s="6" t="n">
        <f aca="false">'Prezzi Unitari'!$E$12</f>
        <v>0.058804</v>
      </c>
      <c r="N6" s="6" t="n">
        <f aca="false">'Prezzi Unitari'!$E$11</f>
        <v>0.0338114285714286</v>
      </c>
      <c r="O6" s="7"/>
      <c r="P6" s="7"/>
      <c r="Q6" s="7"/>
      <c r="R6" s="7"/>
      <c r="S6" s="7"/>
      <c r="T6" s="6" t="n">
        <f aca="false">B6-C6</f>
        <v>3.33318457142857</v>
      </c>
      <c r="U6" s="8" t="n">
        <f aca="false">T6/B6</f>
        <v>0.606033558441558</v>
      </c>
      <c r="V6" s="9" t="s">
        <v>32</v>
      </c>
      <c r="W6" s="10"/>
    </row>
    <row r="7" customFormat="false" ht="26.25" hidden="false" customHeight="true" outlineLevel="0" collapsed="false">
      <c r="A7" s="3" t="s">
        <v>33</v>
      </c>
      <c r="B7" s="4" t="n">
        <v>5.5</v>
      </c>
      <c r="C7" s="5" t="n">
        <f aca="false">SUM(D7:S7)</f>
        <v>2.02777542857143</v>
      </c>
      <c r="D7" s="6" t="n">
        <f aca="false">'Prezzi Unitari'!$E$6</f>
        <v>0.6552</v>
      </c>
      <c r="E7" s="7"/>
      <c r="F7" s="7"/>
      <c r="G7" s="6" t="n">
        <f aca="false">Parametri!$B$5/100*'Prezzi Unitari'!$E$8</f>
        <v>1.1352</v>
      </c>
      <c r="H7" s="6" t="n">
        <f aca="false">Parametri!$B$6/100*'Prezzi Unitari'!$E$7</f>
        <v>0.14476</v>
      </c>
      <c r="I7" s="7"/>
      <c r="J7" s="7"/>
      <c r="K7" s="7"/>
      <c r="L7" s="7"/>
      <c r="M7" s="6" t="n">
        <f aca="false">'Prezzi Unitari'!$E$12</f>
        <v>0.058804</v>
      </c>
      <c r="N7" s="6" t="n">
        <f aca="false">'Prezzi Unitari'!$E$11</f>
        <v>0.0338114285714286</v>
      </c>
      <c r="O7" s="7"/>
      <c r="P7" s="7"/>
      <c r="Q7" s="7"/>
      <c r="R7" s="7"/>
      <c r="S7" s="7"/>
      <c r="T7" s="6" t="n">
        <f aca="false">B7-C7</f>
        <v>3.47222457142857</v>
      </c>
      <c r="U7" s="8" t="n">
        <f aca="false">T7/B7</f>
        <v>0.631313558441559</v>
      </c>
      <c r="V7" s="9" t="s">
        <v>34</v>
      </c>
      <c r="W7" s="10"/>
    </row>
    <row r="8" customFormat="false" ht="15" hidden="false" customHeight="true" outlineLevel="0" collapsed="false">
      <c r="A8" s="3" t="s">
        <v>35</v>
      </c>
      <c r="B8" s="6" t="n">
        <v>5</v>
      </c>
      <c r="C8" s="5" t="n">
        <f aca="false">SUM(D8:S8)</f>
        <v>1.47161542857143</v>
      </c>
      <c r="D8" s="6" t="n">
        <f aca="false">'Prezzi Unitari'!$E$6</f>
        <v>0.6552</v>
      </c>
      <c r="E8" s="7"/>
      <c r="F8" s="7"/>
      <c r="G8" s="7"/>
      <c r="H8" s="6" t="n">
        <f aca="false">Parametri!$B$7/100*'Prezzi Unitari'!$E$7</f>
        <v>0.7238</v>
      </c>
      <c r="I8" s="7"/>
      <c r="J8" s="7"/>
      <c r="K8" s="7"/>
      <c r="L8" s="7"/>
      <c r="M8" s="6" t="n">
        <f aca="false">'Prezzi Unitari'!$E$12</f>
        <v>0.058804</v>
      </c>
      <c r="N8" s="6" t="n">
        <f aca="false">'Prezzi Unitari'!$E$11</f>
        <v>0.0338114285714286</v>
      </c>
      <c r="O8" s="7"/>
      <c r="P8" s="7"/>
      <c r="Q8" s="7"/>
      <c r="R8" s="7"/>
      <c r="S8" s="7"/>
      <c r="T8" s="6" t="n">
        <f aca="false">B8-C8</f>
        <v>3.52838457142857</v>
      </c>
      <c r="U8" s="8" t="n">
        <f aca="false">T8/B8</f>
        <v>0.705676914285714</v>
      </c>
      <c r="V8" s="9" t="s">
        <v>36</v>
      </c>
      <c r="W8" s="10"/>
    </row>
    <row r="9" customFormat="false" ht="26.25" hidden="false" customHeight="true" outlineLevel="0" collapsed="false">
      <c r="A9" s="3" t="s">
        <v>37</v>
      </c>
      <c r="B9" s="4" t="n">
        <v>9.5</v>
      </c>
      <c r="C9" s="5" t="n">
        <f aca="false">SUM(D9:S9)</f>
        <v>3.95246749218897</v>
      </c>
      <c r="D9" s="6" t="n">
        <f aca="false">'Prezzi Unitari'!$E$10</f>
        <v>0.3146</v>
      </c>
      <c r="E9" s="6" t="n">
        <f aca="false">Parametri!$B$44</f>
        <v>1.5</v>
      </c>
      <c r="F9" s="6" t="n">
        <f aca="false">Parametri!$B$47</f>
        <v>1</v>
      </c>
      <c r="G9" s="7"/>
      <c r="H9" s="6" t="n">
        <f aca="false">Parametri!$B$48/100*'Prezzi Unitari'!$E$7</f>
        <v>0.14476</v>
      </c>
      <c r="I9" s="6" t="n">
        <f aca="false">Parametri!$B$78/1000*'Materie Prime IperTosano'!$H$4</f>
        <v>0.312</v>
      </c>
      <c r="J9" s="6" t="n">
        <f aca="false">Parametri!$B$78*Parametri!$B$79/0.92/1000*'Prezzi Unitari'!$E$2</f>
        <v>0.0624586956521739</v>
      </c>
      <c r="K9" s="6" t="n">
        <f aca="false">Parametri!$B$82*'Prezzi Unitari'!$E$3+Parametri!$B$83*'Prezzi Unitari'!$E$4</f>
        <v>0.373393939393939</v>
      </c>
      <c r="L9" s="6" t="n">
        <f aca="false">Parametri!$B$84*'Prezzi Unitari'!$E$13</f>
        <v>0.060024</v>
      </c>
      <c r="M9" s="6" t="n">
        <f aca="false">Parametri!$B$80*'Prezzi Unitari'!$E$12</f>
        <v>0.117608</v>
      </c>
      <c r="N9" s="6" t="n">
        <f aca="false">Parametri!$B$81*'Prezzi Unitari'!$E$11</f>
        <v>0.0676228571428572</v>
      </c>
      <c r="O9" s="7"/>
      <c r="P9" s="7"/>
      <c r="Q9" s="7"/>
      <c r="R9" s="7"/>
      <c r="S9" s="7"/>
      <c r="T9" s="6" t="n">
        <f aca="false">B9-C9</f>
        <v>5.54753250781103</v>
      </c>
      <c r="U9" s="8" t="n">
        <f aca="false">T9/B9</f>
        <v>0.583950790295898</v>
      </c>
      <c r="V9" s="9" t="s">
        <v>38</v>
      </c>
      <c r="W9" s="9" t="s">
        <v>39</v>
      </c>
    </row>
    <row r="10" customFormat="false" ht="15" hidden="false" customHeight="true" outlineLevel="0" collapsed="false">
      <c r="A10" s="3" t="s">
        <v>40</v>
      </c>
      <c r="B10" s="6" t="n">
        <v>3</v>
      </c>
      <c r="C10" s="5" t="n">
        <f aca="false">SUM(D10:S10)</f>
        <v>0.693787093920572</v>
      </c>
      <c r="D10" s="7"/>
      <c r="E10" s="7"/>
      <c r="F10" s="7"/>
      <c r="G10" s="7"/>
      <c r="H10" s="7"/>
      <c r="I10" s="6" t="n">
        <f aca="false">Parametri!$B$9/1000*'Materie Prime IperTosano'!$H$4</f>
        <v>0.312</v>
      </c>
      <c r="J10" s="6" t="n">
        <f aca="false">Parametri!$B$12/1000*'Prezzi Unitari'!$E$2</f>
        <v>0.0624586956521739</v>
      </c>
      <c r="K10" s="6" t="n">
        <f aca="false">Parametri!$B$15*'Prezzi Unitari'!$E$3+Parametri!$B$16*'Prezzi Unitari'!$E$4</f>
        <v>0.18669696969697</v>
      </c>
      <c r="L10" s="6" t="n">
        <f aca="false">Parametri!$B$17*'Prezzi Unitari'!$E$13</f>
        <v>0.040016</v>
      </c>
      <c r="M10" s="6" t="n">
        <f aca="false">Parametri!$B$13*'Prezzi Unitari'!$E$12</f>
        <v>0.058804</v>
      </c>
      <c r="N10" s="6" t="n">
        <f aca="false">Parametri!$B$14*'Prezzi Unitari'!$E$11</f>
        <v>0.0338114285714286</v>
      </c>
      <c r="O10" s="7"/>
      <c r="P10" s="7"/>
      <c r="Q10" s="7"/>
      <c r="R10" s="7"/>
      <c r="S10" s="7"/>
      <c r="T10" s="6" t="n">
        <f aca="false">B10-C10</f>
        <v>2.30621290607943</v>
      </c>
      <c r="U10" s="8" t="n">
        <f aca="false">T10/B10</f>
        <v>0.768737635359809</v>
      </c>
      <c r="V10" s="9" t="s">
        <v>41</v>
      </c>
      <c r="W10" s="9" t="s">
        <v>42</v>
      </c>
    </row>
    <row r="11" customFormat="false" ht="15" hidden="false" customHeight="true" outlineLevel="0" collapsed="false">
      <c r="A11" s="3" t="s">
        <v>43</v>
      </c>
      <c r="B11" s="6" t="n">
        <v>1</v>
      </c>
      <c r="C11" s="5" t="n">
        <f aca="false">SUM(D11:S11)</f>
        <v>0.133333333333333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6" t="n">
        <f aca="false">'Materie Prime IperTosano'!$H$2</f>
        <v>0.133333333333333</v>
      </c>
      <c r="P11" s="7"/>
      <c r="Q11" s="7"/>
      <c r="R11" s="7"/>
      <c r="S11" s="7"/>
      <c r="T11" s="6" t="n">
        <f aca="false">B11-C11</f>
        <v>0.866666666666667</v>
      </c>
      <c r="U11" s="8" t="n">
        <f aca="false">T11/B11</f>
        <v>0.866666666666667</v>
      </c>
      <c r="V11" s="9" t="s">
        <v>44</v>
      </c>
      <c r="W11" s="9" t="s">
        <v>45</v>
      </c>
    </row>
    <row r="12" customFormat="false" ht="15" hidden="false" customHeight="true" outlineLevel="0" collapsed="false">
      <c r="A12" s="3" t="s">
        <v>46</v>
      </c>
      <c r="B12" s="6" t="n">
        <v>1</v>
      </c>
      <c r="C12" s="5" t="n">
        <f aca="false">SUM(D12:S12)</f>
        <v>0.133333333333333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 t="n">
        <f aca="false">'Materie Prime IperTosano'!$H$3</f>
        <v>0.133333333333333</v>
      </c>
      <c r="P12" s="7"/>
      <c r="Q12" s="7"/>
      <c r="R12" s="7"/>
      <c r="S12" s="7"/>
      <c r="T12" s="6" t="n">
        <f aca="false">B12-C12</f>
        <v>0.866666666666667</v>
      </c>
      <c r="U12" s="8" t="n">
        <f aca="false">T12/B12</f>
        <v>0.866666666666667</v>
      </c>
      <c r="V12" s="9" t="s">
        <v>47</v>
      </c>
      <c r="W12" s="9" t="s">
        <v>45</v>
      </c>
    </row>
    <row r="13" customFormat="false" ht="15" hidden="false" customHeight="true" outlineLevel="0" collapsed="false">
      <c r="A13" s="3" t="s">
        <v>48</v>
      </c>
      <c r="B13" s="4" t="n">
        <v>2.5</v>
      </c>
      <c r="C13" s="5" t="n">
        <f aca="false">SUM(D13:S13)</f>
        <v>0.781351547911548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6" t="n">
        <f aca="false">0.2*'Materie Prime Bevande'!$I$5</f>
        <v>0.57706</v>
      </c>
      <c r="P13" s="6" t="n">
        <f aca="false">'Materie Prime Bevande'!$I$6</f>
        <v>0.09638</v>
      </c>
      <c r="Q13" s="7"/>
      <c r="R13" s="7"/>
      <c r="S13" s="6" t="n">
        <f aca="false">0.2*Parametri!$B$35</f>
        <v>0.107911547911548</v>
      </c>
      <c r="T13" s="6" t="n">
        <f aca="false">B13-C13</f>
        <v>1.71864845208845</v>
      </c>
      <c r="U13" s="8" t="n">
        <f aca="false">T13/B13</f>
        <v>0.687459380835381</v>
      </c>
      <c r="V13" s="9" t="s">
        <v>49</v>
      </c>
      <c r="W13" s="9" t="s">
        <v>50</v>
      </c>
    </row>
    <row r="14" customFormat="false" ht="15" hidden="false" customHeight="true" outlineLevel="0" collapsed="false">
      <c r="A14" s="3" t="s">
        <v>51</v>
      </c>
      <c r="B14" s="6" t="n">
        <v>4</v>
      </c>
      <c r="C14" s="5" t="n">
        <f aca="false">SUM(D14:S14)</f>
        <v>1.5004830958231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" t="n">
        <f aca="false">0.4*'Materie Prime Bevande'!$I$5</f>
        <v>1.15412</v>
      </c>
      <c r="P14" s="6" t="n">
        <f aca="false">'Materie Prime Bevande'!$I$7</f>
        <v>0.13054</v>
      </c>
      <c r="Q14" s="7"/>
      <c r="R14" s="7"/>
      <c r="S14" s="6" t="n">
        <f aca="false">0.4*Parametri!$B$35</f>
        <v>0.215823095823096</v>
      </c>
      <c r="T14" s="6" t="n">
        <f aca="false">B14-C14</f>
        <v>2.4995169041769</v>
      </c>
      <c r="U14" s="8" t="n">
        <f aca="false">T14/B14</f>
        <v>0.624879226044226</v>
      </c>
      <c r="V14" s="10"/>
      <c r="W14" s="10"/>
    </row>
    <row r="15" customFormat="false" ht="15" hidden="false" customHeight="true" outlineLevel="0" collapsed="false">
      <c r="A15" s="3" t="s">
        <v>52</v>
      </c>
      <c r="B15" s="4" t="n">
        <v>2</v>
      </c>
      <c r="C15" s="5" t="n">
        <f aca="false">SUM(D15:S15)</f>
        <v>0.792593333333333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6" t="n">
        <f aca="false">'Materie Prime Bevande'!$I$13</f>
        <v>0.679133333333333</v>
      </c>
      <c r="P15" s="6" t="n">
        <f aca="false">'Materie Prime Bevande'!$I$10</f>
        <v>0.11346</v>
      </c>
      <c r="Q15" s="7"/>
      <c r="R15" s="7"/>
      <c r="S15" s="7"/>
      <c r="T15" s="6" t="n">
        <f aca="false">B15-C15</f>
        <v>1.20740666666667</v>
      </c>
      <c r="U15" s="8" t="n">
        <f aca="false">T15/B15</f>
        <v>0.603703333333333</v>
      </c>
      <c r="V15" s="9" t="s">
        <v>53</v>
      </c>
      <c r="W15" s="9" t="s">
        <v>54</v>
      </c>
    </row>
    <row r="16" customFormat="false" ht="15" hidden="false" customHeight="true" outlineLevel="0" collapsed="false">
      <c r="A16" s="3" t="s">
        <v>55</v>
      </c>
      <c r="B16" s="4" t="n">
        <v>2</v>
      </c>
      <c r="C16" s="5" t="n">
        <f aca="false">SUM(D16:S16)</f>
        <v>0.792593333333333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6" t="n">
        <f aca="false">'Materie Prime Bevande'!$I$14</f>
        <v>0.679133333333333</v>
      </c>
      <c r="P16" s="6" t="n">
        <f aca="false">'Materie Prime Bevande'!$I$10</f>
        <v>0.11346</v>
      </c>
      <c r="Q16" s="7"/>
      <c r="R16" s="7"/>
      <c r="S16" s="7"/>
      <c r="T16" s="6" t="n">
        <f aca="false">B16-C16</f>
        <v>1.20740666666667</v>
      </c>
      <c r="U16" s="8" t="n">
        <f aca="false">T16/B16</f>
        <v>0.603703333333333</v>
      </c>
      <c r="V16" s="9" t="s">
        <v>56</v>
      </c>
      <c r="W16" s="9" t="s">
        <v>54</v>
      </c>
    </row>
    <row r="17" customFormat="false" ht="15" hidden="false" customHeight="true" outlineLevel="0" collapsed="false">
      <c r="A17" s="3" t="s">
        <v>57</v>
      </c>
      <c r="B17" s="6" t="n">
        <v>2</v>
      </c>
      <c r="C17" s="5" t="n">
        <f aca="false">SUM(D17:S17)</f>
        <v>0.792593333333333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6" t="n">
        <f aca="false">'Materie Prime Bevande'!$I$8</f>
        <v>0.679133333333333</v>
      </c>
      <c r="P17" s="6" t="n">
        <f aca="false">'Materie Prime Bevande'!$I$10</f>
        <v>0.11346</v>
      </c>
      <c r="Q17" s="7"/>
      <c r="R17" s="7"/>
      <c r="S17" s="7"/>
      <c r="T17" s="6" t="n">
        <f aca="false">B17-C17</f>
        <v>1.20740666666667</v>
      </c>
      <c r="U17" s="8" t="n">
        <f aca="false">T17/B17</f>
        <v>0.603703333333333</v>
      </c>
      <c r="V17" s="9" t="s">
        <v>58</v>
      </c>
      <c r="W17" s="9" t="s">
        <v>54</v>
      </c>
    </row>
    <row r="18" customFormat="false" ht="15" hidden="false" customHeight="true" outlineLevel="0" collapsed="false">
      <c r="A18" s="3" t="s">
        <v>59</v>
      </c>
      <c r="B18" s="6" t="n">
        <v>2</v>
      </c>
      <c r="C18" s="5" t="n">
        <f aca="false">SUM(D18:S18)</f>
        <v>0.792593333333333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6" t="n">
        <f aca="false">'Materie Prime Bevande'!$I$9</f>
        <v>0.679133333333333</v>
      </c>
      <c r="P18" s="6" t="n">
        <f aca="false">'Materie Prime Bevande'!$I$10</f>
        <v>0.11346</v>
      </c>
      <c r="Q18" s="7"/>
      <c r="R18" s="7"/>
      <c r="S18" s="7"/>
      <c r="T18" s="6" t="n">
        <f aca="false">B18-C18</f>
        <v>1.20740666666667</v>
      </c>
      <c r="U18" s="8" t="n">
        <f aca="false">T18/B18</f>
        <v>0.603703333333333</v>
      </c>
      <c r="V18" s="9" t="s">
        <v>60</v>
      </c>
      <c r="W18" s="9" t="s">
        <v>54</v>
      </c>
    </row>
    <row r="19" customFormat="false" ht="15" hidden="false" customHeight="true" outlineLevel="0" collapsed="false">
      <c r="A19" s="3" t="s">
        <v>61</v>
      </c>
      <c r="B19" s="6" t="n">
        <v>3</v>
      </c>
      <c r="C19" s="5" t="n">
        <f aca="false">SUM(D19:S19)</f>
        <v>1.04680919497037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6" t="n">
        <f aca="false">0.2*'Materie Prime Bevande'!$I$3</f>
        <v>0.842517647058823</v>
      </c>
      <c r="P19" s="6" t="n">
        <f aca="false">'Materie Prime Bevande'!$I$6</f>
        <v>0.09638</v>
      </c>
      <c r="Q19" s="7"/>
      <c r="R19" s="7"/>
      <c r="S19" s="6" t="n">
        <f aca="false">0.2*Parametri!$B$35</f>
        <v>0.107911547911548</v>
      </c>
      <c r="T19" s="6" t="n">
        <f aca="false">B19-C19</f>
        <v>1.95319080502963</v>
      </c>
      <c r="U19" s="8" t="n">
        <f aca="false">T19/B19</f>
        <v>0.651063601676543</v>
      </c>
      <c r="V19" s="9" t="s">
        <v>62</v>
      </c>
      <c r="W19" s="9" t="s">
        <v>50</v>
      </c>
    </row>
    <row r="20" customFormat="false" ht="15" hidden="false" customHeight="true" outlineLevel="0" collapsed="false">
      <c r="A20" s="3" t="s">
        <v>63</v>
      </c>
      <c r="B20" s="6" t="n">
        <v>5</v>
      </c>
      <c r="C20" s="5" t="n">
        <f aca="false">SUM(D20:S20)</f>
        <v>2.03139838994074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6" t="n">
        <f aca="false">0.4*'Materie Prime Bevande'!$I$3</f>
        <v>1.68503529411765</v>
      </c>
      <c r="P20" s="6" t="n">
        <f aca="false">'Materie Prime Bevande'!$I$7</f>
        <v>0.13054</v>
      </c>
      <c r="Q20" s="7"/>
      <c r="R20" s="7"/>
      <c r="S20" s="6" t="n">
        <f aca="false">0.4*Parametri!$B$35</f>
        <v>0.215823095823096</v>
      </c>
      <c r="T20" s="6" t="n">
        <f aca="false">B20-C20</f>
        <v>2.96860161005926</v>
      </c>
      <c r="U20" s="8" t="n">
        <f aca="false">T20/B20</f>
        <v>0.593720322011851</v>
      </c>
      <c r="V20" s="10"/>
      <c r="W20" s="10"/>
    </row>
    <row r="21" customFormat="false" ht="15" hidden="false" customHeight="true" outlineLevel="0" collapsed="false">
      <c r="A21" s="3" t="s">
        <v>64</v>
      </c>
      <c r="B21" s="6" t="n">
        <v>2.5</v>
      </c>
      <c r="C21" s="5" t="n">
        <f aca="false">SUM(D21:S21)</f>
        <v>0.908109547911548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6" t="n">
        <f aca="false">0.2*'Materie Prime Bevande'!$I$2</f>
        <v>0.703818</v>
      </c>
      <c r="P21" s="6" t="n">
        <f aca="false">'Materie Prime Bevande'!$I$6</f>
        <v>0.09638</v>
      </c>
      <c r="Q21" s="7"/>
      <c r="R21" s="7"/>
      <c r="S21" s="6" t="n">
        <f aca="false">0.2*Parametri!$B$35</f>
        <v>0.107911547911548</v>
      </c>
      <c r="T21" s="6" t="n">
        <f aca="false">B21-C21</f>
        <v>1.59189045208845</v>
      </c>
      <c r="U21" s="8" t="n">
        <f aca="false">T21/B21</f>
        <v>0.636756180835381</v>
      </c>
      <c r="V21" s="9" t="s">
        <v>65</v>
      </c>
      <c r="W21" s="9" t="s">
        <v>50</v>
      </c>
    </row>
    <row r="22" customFormat="false" ht="15" hidden="false" customHeight="true" outlineLevel="0" collapsed="false">
      <c r="A22" s="3" t="s">
        <v>66</v>
      </c>
      <c r="B22" s="6" t="n">
        <v>4</v>
      </c>
      <c r="C22" s="5" t="n">
        <f aca="false">SUM(D22:S22)</f>
        <v>1.7539990958231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6" t="n">
        <f aca="false">0.4*'Materie Prime Bevande'!$I$2</f>
        <v>1.407636</v>
      </c>
      <c r="P22" s="6" t="n">
        <f aca="false">'Materie Prime Bevande'!$I$7</f>
        <v>0.13054</v>
      </c>
      <c r="Q22" s="7"/>
      <c r="R22" s="7"/>
      <c r="S22" s="6" t="n">
        <f aca="false">0.4*Parametri!$B$35</f>
        <v>0.215823095823096</v>
      </c>
      <c r="T22" s="6" t="n">
        <f aca="false">B22-C22</f>
        <v>2.2460009041769</v>
      </c>
      <c r="U22" s="8" t="n">
        <f aca="false">T22/B22</f>
        <v>0.561500226044226</v>
      </c>
      <c r="V22" s="10"/>
      <c r="W22" s="10"/>
    </row>
    <row r="23" customFormat="false" ht="15" hidden="false" customHeight="true" outlineLevel="0" collapsed="false">
      <c r="A23" s="3" t="s">
        <v>67</v>
      </c>
      <c r="B23" s="6" t="n">
        <v>2.5</v>
      </c>
      <c r="C23" s="5" t="n">
        <f aca="false">SUM(D23:S23)</f>
        <v>0.834104347911548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6" t="n">
        <f aca="false">0.2*'Materie Prime Bevande'!$I$4</f>
        <v>0.6298128</v>
      </c>
      <c r="P23" s="6" t="n">
        <f aca="false">'Materie Prime Bevande'!$I$6</f>
        <v>0.09638</v>
      </c>
      <c r="Q23" s="7"/>
      <c r="R23" s="7"/>
      <c r="S23" s="6" t="n">
        <f aca="false">0.2*Parametri!$B$35</f>
        <v>0.107911547911548</v>
      </c>
      <c r="T23" s="6" t="n">
        <f aca="false">B23-C23</f>
        <v>1.66589565208845</v>
      </c>
      <c r="U23" s="8" t="n">
        <f aca="false">T23/B23</f>
        <v>0.666358260835381</v>
      </c>
      <c r="V23" s="9" t="s">
        <v>68</v>
      </c>
      <c r="W23" s="9" t="s">
        <v>50</v>
      </c>
    </row>
    <row r="24" customFormat="false" ht="15" hidden="false" customHeight="true" outlineLevel="0" collapsed="false">
      <c r="A24" s="3" t="s">
        <v>69</v>
      </c>
      <c r="B24" s="6" t="n">
        <v>3.5</v>
      </c>
      <c r="C24" s="5" t="n">
        <f aca="false">SUM(D24:S24)</f>
        <v>1.40138253628174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6" t="n">
        <f aca="false">Parametri!$B$27/1000*'Materie Prime Bevande'!$I$4</f>
        <v>0.3673908</v>
      </c>
      <c r="P24" s="6" t="n">
        <f aca="false">'Materie Prime Bevande'!$I$10</f>
        <v>0.11346</v>
      </c>
      <c r="Q24" s="6" t="n">
        <f aca="false">Parametri!$B$28/1000*'Materie Prime Bevande'!$I$11</f>
        <v>0.782833333333333</v>
      </c>
      <c r="R24" s="6" t="n">
        <f aca="false">Parametri!$B$29/1000*'Materie Prime IperTosano'!$H$5</f>
        <v>0.07475</v>
      </c>
      <c r="S24" s="6" t="n">
        <f aca="false">Parametri!$B$27/1000*Parametri!$B$35</f>
        <v>0.062948402948403</v>
      </c>
      <c r="T24" s="6" t="n">
        <f aca="false">B24-C24</f>
        <v>2.09861746371826</v>
      </c>
      <c r="U24" s="8" t="n">
        <f aca="false">T24/B24</f>
        <v>0.59960498963379</v>
      </c>
      <c r="V24" s="9" t="s">
        <v>70</v>
      </c>
      <c r="W24" s="10"/>
    </row>
    <row r="25" customFormat="false" ht="15" hidden="false" customHeight="true" outlineLevel="0" collapsed="false">
      <c r="A25" s="3" t="s">
        <v>71</v>
      </c>
      <c r="B25" s="6" t="n">
        <v>3.5</v>
      </c>
      <c r="C25" s="5" t="n">
        <f aca="false">SUM(D25:S25)</f>
        <v>1.6219992029484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 t="n">
        <f aca="false">Parametri!$B$27/1000*'Materie Prime Bevande'!$I$4</f>
        <v>0.3673908</v>
      </c>
      <c r="P25" s="6" t="n">
        <f aca="false">'Materie Prime Bevande'!$I$10</f>
        <v>0.11346</v>
      </c>
      <c r="Q25" s="6" t="n">
        <f aca="false">Parametri!$B$28/1000*'Materie Prime Bevande'!$I$12</f>
        <v>1.00345</v>
      </c>
      <c r="R25" s="6" t="n">
        <f aca="false">Parametri!$B$29/1000*'Materie Prime IperTosano'!$H$5</f>
        <v>0.07475</v>
      </c>
      <c r="S25" s="6" t="n">
        <f aca="false">Parametri!$B$27/1000*Parametri!$B$35</f>
        <v>0.062948402948403</v>
      </c>
      <c r="T25" s="6" t="n">
        <f aca="false">B25-C25</f>
        <v>1.8780007970516</v>
      </c>
      <c r="U25" s="8" t="n">
        <f aca="false">T25/B25</f>
        <v>0.536571656300456</v>
      </c>
      <c r="V25" s="9" t="s">
        <v>72</v>
      </c>
      <c r="W25" s="10"/>
    </row>
    <row r="26" customFormat="false" ht="15" hidden="false" customHeight="true" outlineLevel="0" collapsed="false">
      <c r="A26" s="11" t="s">
        <v>73</v>
      </c>
      <c r="B26" s="12" t="n">
        <v>3.5</v>
      </c>
      <c r="C26" s="13" t="n">
        <f aca="false">SUM(D26:S26)</f>
        <v>1.1818036156597</v>
      </c>
      <c r="D26" s="14"/>
      <c r="E26" s="14"/>
      <c r="F26" s="14"/>
      <c r="G26" s="14"/>
      <c r="H26" s="14"/>
      <c r="I26" s="12" t="n">
        <f aca="false">Parametri!$B$56/1000*'Materie Prime IperTosano'!$H$6</f>
        <v>0.825</v>
      </c>
      <c r="J26" s="12" t="n">
        <f aca="false">Parametri!$B$56*Parametri!$B$57/0.92/1000*'Prezzi Unitari'!$E$2</f>
        <v>0.0374752173913044</v>
      </c>
      <c r="K26" s="12" t="n">
        <f aca="false">Parametri!$B$60*'Prezzi Unitari'!$E$3+Parametri!$B$61*'Prezzi Unitari'!$E$4</f>
        <v>0.18669696969697</v>
      </c>
      <c r="L26" s="12" t="n">
        <f aca="false">Parametri!$B$62*'Prezzi Unitari'!$E$13</f>
        <v>0.040016</v>
      </c>
      <c r="M26" s="12" t="n">
        <f aca="false">Parametri!$B$58*'Prezzi Unitari'!$E$12</f>
        <v>0.058804</v>
      </c>
      <c r="N26" s="12" t="n">
        <f aca="false">Parametri!$B$59*'Prezzi Unitari'!$E$11</f>
        <v>0.0338114285714286</v>
      </c>
      <c r="O26" s="14"/>
      <c r="P26" s="14"/>
      <c r="Q26" s="14"/>
      <c r="R26" s="14"/>
      <c r="S26" s="14"/>
      <c r="T26" s="12" t="n">
        <f aca="false">B26-C26</f>
        <v>2.3181963843403</v>
      </c>
      <c r="U26" s="15" t="n">
        <f aca="false">T26/B26</f>
        <v>0.662341824097228</v>
      </c>
      <c r="V26" s="16"/>
      <c r="W26" s="16"/>
    </row>
    <row r="27" customFormat="false" ht="15" hidden="false" customHeight="true" outlineLevel="0" collapsed="false">
      <c r="A27" s="11" t="s">
        <v>74</v>
      </c>
      <c r="B27" s="12" t="n">
        <v>3.5</v>
      </c>
      <c r="C27" s="13" t="n">
        <f aca="false">SUM(D27:S27)</f>
        <v>1.26028605637117</v>
      </c>
      <c r="D27" s="14"/>
      <c r="E27" s="14"/>
      <c r="F27" s="14"/>
      <c r="G27" s="14"/>
      <c r="H27" s="14"/>
      <c r="I27" s="12" t="n">
        <f aca="false">Parametri!$B$65/1000*'Materie Prime IperTosano'!$H$7</f>
        <v>0.987</v>
      </c>
      <c r="J27" s="12" t="n">
        <f aca="false">Parametri!$B$65*Parametri!$B$66/0.92/1000*'Prezzi Unitari'!$E$2</f>
        <v>0.0468440217391304</v>
      </c>
      <c r="K27" s="12" t="n">
        <f aca="false">Parametri!$B$69*'Prezzi Unitari'!$E$3+Parametri!$B$70*'Prezzi Unitari'!$E$4</f>
        <v>0.0938106060606061</v>
      </c>
      <c r="L27" s="12" t="n">
        <f aca="false">Parametri!$B$71*'Prezzi Unitari'!$E$13</f>
        <v>0.040016</v>
      </c>
      <c r="M27" s="12" t="n">
        <f aca="false">Parametri!$B$67*'Prezzi Unitari'!$E$12</f>
        <v>0.058804</v>
      </c>
      <c r="N27" s="12" t="n">
        <f aca="false">Parametri!$B$68*'Prezzi Unitari'!$E$11</f>
        <v>0.0338114285714286</v>
      </c>
      <c r="O27" s="14"/>
      <c r="P27" s="14"/>
      <c r="Q27" s="14"/>
      <c r="R27" s="14"/>
      <c r="S27" s="14"/>
      <c r="T27" s="12" t="n">
        <f aca="false">B27-C27</f>
        <v>2.23971394362883</v>
      </c>
      <c r="U27" s="15" t="n">
        <f aca="false">T27/B27</f>
        <v>0.639918269608239</v>
      </c>
      <c r="V27" s="16"/>
      <c r="W27" s="16"/>
    </row>
    <row r="29" customFormat="false" ht="15" hidden="false" customHeight="true" outlineLevel="0" collapsed="false">
      <c r="A29" s="1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4" min="3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22"/>
  </cols>
  <sheetData>
    <row r="1" customFormat="false" ht="39.75" hidden="false" customHeight="true" outlineLevel="0" collapsed="false">
      <c r="A1" s="2" t="s">
        <v>0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</row>
    <row r="2" customFormat="false" ht="15" hidden="false" customHeight="true" outlineLevel="0" collapsed="false">
      <c r="A2" s="3" t="s">
        <v>23</v>
      </c>
      <c r="B2" s="18" t="n">
        <f aca="false">'Vendite 2025'!$F$13</f>
        <v>63</v>
      </c>
      <c r="C2" s="6" t="n">
        <f aca="false">'Prodotti Finiti'!$B$2</f>
        <v>5.5</v>
      </c>
      <c r="D2" s="6" t="n">
        <f aca="false">B2*C2</f>
        <v>346.5</v>
      </c>
      <c r="E2" s="6" t="n">
        <f aca="false">'Prodotti Finiti'!$C$2</f>
        <v>2.16131542857143</v>
      </c>
      <c r="F2" s="6" t="n">
        <f aca="false">B2*E2</f>
        <v>136.162872</v>
      </c>
      <c r="G2" s="5" t="n">
        <f aca="false">D2-F2</f>
        <v>210.337128</v>
      </c>
      <c r="H2" s="8" t="n">
        <f aca="false">IF($G$28=0,"",G2/$G$28)</f>
        <v>0.052239119562057</v>
      </c>
    </row>
    <row r="3" customFormat="false" ht="15" hidden="false" customHeight="true" outlineLevel="0" collapsed="false">
      <c r="A3" s="3" t="s">
        <v>25</v>
      </c>
      <c r="B3" s="18" t="n">
        <f aca="false">'Vendite 2025'!$F$14</f>
        <v>133</v>
      </c>
      <c r="C3" s="6" t="n">
        <f aca="false">'Prodotti Finiti'!$B$3</f>
        <v>5.5</v>
      </c>
      <c r="D3" s="6" t="n">
        <f aca="false">B3*C3</f>
        <v>731.5</v>
      </c>
      <c r="E3" s="6" t="n">
        <f aca="false">'Prodotti Finiti'!$C$3</f>
        <v>2.02337542857143</v>
      </c>
      <c r="F3" s="6" t="n">
        <f aca="false">B3*E3</f>
        <v>269.108932</v>
      </c>
      <c r="G3" s="5" t="n">
        <f aca="false">D3-F3</f>
        <v>462.391068</v>
      </c>
      <c r="H3" s="8" t="n">
        <f aca="false">IF($G$28=0,"",G3/$G$28)</f>
        <v>0.114838984992128</v>
      </c>
    </row>
    <row r="4" customFormat="false" ht="15" hidden="false" customHeight="true" outlineLevel="0" collapsed="false">
      <c r="A4" s="3" t="s">
        <v>27</v>
      </c>
      <c r="B4" s="18" t="n">
        <f aca="false">'Vendite 2025'!$F$11</f>
        <v>66</v>
      </c>
      <c r="C4" s="6" t="n">
        <f aca="false">'Prodotti Finiti'!$B$4</f>
        <v>5</v>
      </c>
      <c r="D4" s="6" t="n">
        <f aca="false">B4*C4</f>
        <v>330</v>
      </c>
      <c r="E4" s="6" t="n">
        <f aca="false">'Prodotti Finiti'!$C$4</f>
        <v>1.89181542857143</v>
      </c>
      <c r="F4" s="6" t="n">
        <f aca="false">B4*E4</f>
        <v>124.859818285714</v>
      </c>
      <c r="G4" s="5" t="n">
        <f aca="false">D4-F4</f>
        <v>205.140181714286</v>
      </c>
      <c r="H4" s="8" t="n">
        <f aca="false">IF($G$28=0,"",G4/$G$28)</f>
        <v>0.0509484111599863</v>
      </c>
    </row>
    <row r="5" customFormat="false" ht="15" hidden="false" customHeight="true" outlineLevel="0" collapsed="false">
      <c r="A5" s="3" t="s">
        <v>29</v>
      </c>
      <c r="B5" s="18" t="n">
        <f aca="false">'Vendite 2025'!$F$12</f>
        <v>128</v>
      </c>
      <c r="C5" s="6" t="n">
        <f aca="false">'Prodotti Finiti'!$B$5</f>
        <v>5</v>
      </c>
      <c r="D5" s="6" t="n">
        <f aca="false">B5*C5</f>
        <v>640</v>
      </c>
      <c r="E5" s="6" t="n">
        <f aca="false">'Prodotti Finiti'!$C$5</f>
        <v>1.80777542857143</v>
      </c>
      <c r="F5" s="6" t="n">
        <f aca="false">B5*E5</f>
        <v>231.395254857143</v>
      </c>
      <c r="G5" s="5" t="n">
        <f aca="false">D5-F5</f>
        <v>408.604745142857</v>
      </c>
      <c r="H5" s="8" t="n">
        <f aca="false">IF($G$28=0,"",G5/$G$28)</f>
        <v>0.101480667431865</v>
      </c>
    </row>
    <row r="6" customFormat="false" ht="15" hidden="false" customHeight="true" outlineLevel="0" collapsed="false">
      <c r="A6" s="3" t="s">
        <v>31</v>
      </c>
      <c r="B6" s="18" t="n">
        <f aca="false">'Vendite 2025'!$F$15</f>
        <v>35</v>
      </c>
      <c r="C6" s="6" t="n">
        <f aca="false">'Prodotti Finiti'!$B$6</f>
        <v>5.5</v>
      </c>
      <c r="D6" s="6" t="n">
        <f aca="false">B6*C6</f>
        <v>192.5</v>
      </c>
      <c r="E6" s="6" t="n">
        <f aca="false">'Prodotti Finiti'!$C$6</f>
        <v>2.16681542857143</v>
      </c>
      <c r="F6" s="6" t="n">
        <f aca="false">B6*E6</f>
        <v>75.83854</v>
      </c>
      <c r="G6" s="5" t="n">
        <f aca="false">D6-F6</f>
        <v>116.66146</v>
      </c>
      <c r="H6" s="8" t="n">
        <f aca="false">IF($G$28=0,"",G6/$G$28)</f>
        <v>0.0289739239818095</v>
      </c>
    </row>
    <row r="7" customFormat="false" ht="15" hidden="false" customHeight="true" outlineLevel="0" collapsed="false">
      <c r="A7" s="3" t="s">
        <v>33</v>
      </c>
      <c r="B7" s="18" t="n">
        <f aca="false">'Vendite 2025'!$F$16</f>
        <v>90</v>
      </c>
      <c r="C7" s="6" t="n">
        <f aca="false">'Prodotti Finiti'!$B$7</f>
        <v>5.5</v>
      </c>
      <c r="D7" s="6" t="n">
        <f aca="false">B7*C7</f>
        <v>495</v>
      </c>
      <c r="E7" s="6" t="n">
        <f aca="false">'Prodotti Finiti'!$C$7</f>
        <v>2.02777542857143</v>
      </c>
      <c r="F7" s="6" t="n">
        <f aca="false">B7*E7</f>
        <v>182.499788571429</v>
      </c>
      <c r="G7" s="5" t="n">
        <f aca="false">D7-F7</f>
        <v>312.500211428571</v>
      </c>
      <c r="H7" s="8" t="n">
        <f aca="false">IF($G$28=0,"",G7/$G$28)</f>
        <v>0.0776122411825706</v>
      </c>
    </row>
    <row r="8" customFormat="false" ht="15" hidden="false" customHeight="true" outlineLevel="0" collapsed="false">
      <c r="A8" s="3" t="s">
        <v>35</v>
      </c>
      <c r="B8" s="18" t="n">
        <f aca="false">'Vendite 2025'!$F$17</f>
        <v>15</v>
      </c>
      <c r="C8" s="6" t="n">
        <f aca="false">'Prodotti Finiti'!$B$8</f>
        <v>5</v>
      </c>
      <c r="D8" s="6" t="n">
        <f aca="false">B8*C8</f>
        <v>75</v>
      </c>
      <c r="E8" s="6" t="n">
        <f aca="false">'Prodotti Finiti'!$C$8</f>
        <v>1.47161542857143</v>
      </c>
      <c r="F8" s="6" t="n">
        <f aca="false">B8*E8</f>
        <v>22.0742314285714</v>
      </c>
      <c r="G8" s="5" t="n">
        <f aca="false">D8-F8</f>
        <v>52.9257685714286</v>
      </c>
      <c r="H8" s="8" t="n">
        <f aca="false">IF($G$28=0,"",G8/$G$28)</f>
        <v>0.0131445911551888</v>
      </c>
    </row>
    <row r="9" customFormat="false" ht="15" hidden="false" customHeight="true" outlineLevel="0" collapsed="false">
      <c r="A9" s="3" t="s">
        <v>37</v>
      </c>
      <c r="B9" s="19" t="n">
        <v>0</v>
      </c>
      <c r="C9" s="6" t="n">
        <f aca="false">'Prodotti Finiti'!$B$9</f>
        <v>9.5</v>
      </c>
      <c r="D9" s="6" t="n">
        <f aca="false">B9*C9</f>
        <v>0</v>
      </c>
      <c r="E9" s="6" t="n">
        <f aca="false">'Prodotti Finiti'!$C$9</f>
        <v>3.95246749218897</v>
      </c>
      <c r="F9" s="6" t="n">
        <f aca="false">B9*E9</f>
        <v>0</v>
      </c>
      <c r="G9" s="5" t="n">
        <f aca="false">D9-F9</f>
        <v>0</v>
      </c>
      <c r="H9" s="8" t="n">
        <f aca="false">IF($G$28=0,"",G9/$G$28)</f>
        <v>0</v>
      </c>
    </row>
    <row r="10" customFormat="false" ht="15" hidden="false" customHeight="true" outlineLevel="0" collapsed="false">
      <c r="A10" s="3" t="s">
        <v>40</v>
      </c>
      <c r="B10" s="18" t="n">
        <f aca="false">'Vendite 2025'!$F$10</f>
        <v>341</v>
      </c>
      <c r="C10" s="6" t="n">
        <f aca="false">'Prodotti Finiti'!$B$10</f>
        <v>3</v>
      </c>
      <c r="D10" s="6" t="n">
        <f aca="false">B10*C10</f>
        <v>1023</v>
      </c>
      <c r="E10" s="6" t="n">
        <f aca="false">'Prodotti Finiti'!$C$10</f>
        <v>0.693787093920572</v>
      </c>
      <c r="F10" s="6" t="n">
        <f aca="false">B10*E10</f>
        <v>236.581399026915</v>
      </c>
      <c r="G10" s="5" t="n">
        <f aca="false">D10-F10</f>
        <v>786.418600973085</v>
      </c>
      <c r="H10" s="8" t="n">
        <f aca="false">IF($G$28=0,"",G10/$G$28)</f>
        <v>0.195314140269418</v>
      </c>
    </row>
    <row r="11" customFormat="false" ht="15" hidden="false" customHeight="true" outlineLevel="0" collapsed="false">
      <c r="A11" s="3" t="s">
        <v>43</v>
      </c>
      <c r="B11" s="18" t="n">
        <f aca="false">'Vendite 2025'!$F$3</f>
        <v>206</v>
      </c>
      <c r="C11" s="6" t="n">
        <f aca="false">'Prodotti Finiti'!$B$11</f>
        <v>1</v>
      </c>
      <c r="D11" s="6" t="n">
        <f aca="false">B11*C11</f>
        <v>206</v>
      </c>
      <c r="E11" s="6" t="n">
        <f aca="false">'Prodotti Finiti'!$C$11</f>
        <v>0.133333333333333</v>
      </c>
      <c r="F11" s="6" t="n">
        <f aca="false">B11*E11</f>
        <v>27.4666666666667</v>
      </c>
      <c r="G11" s="5" t="n">
        <f aca="false">D11-F11</f>
        <v>178.533333333333</v>
      </c>
      <c r="H11" s="8" t="n">
        <f aca="false">IF($G$28=0,"",G11/$G$28)</f>
        <v>0.0443403608031226</v>
      </c>
    </row>
    <row r="12" customFormat="false" ht="15" hidden="false" customHeight="true" outlineLevel="0" collapsed="false">
      <c r="A12" s="3" t="s">
        <v>46</v>
      </c>
      <c r="B12" s="18" t="n">
        <f aca="false">'Vendite 2025'!$F$2</f>
        <v>62</v>
      </c>
      <c r="C12" s="6" t="n">
        <f aca="false">'Prodotti Finiti'!$B$12</f>
        <v>1</v>
      </c>
      <c r="D12" s="6" t="n">
        <f aca="false">B12*C12</f>
        <v>62</v>
      </c>
      <c r="E12" s="6" t="n">
        <f aca="false">'Prodotti Finiti'!$C$12</f>
        <v>0.133333333333333</v>
      </c>
      <c r="F12" s="6" t="n">
        <f aca="false">B12*E12</f>
        <v>8.26666666666667</v>
      </c>
      <c r="G12" s="5" t="n">
        <f aca="false">D12-F12</f>
        <v>53.7333333333333</v>
      </c>
      <c r="H12" s="8" t="n">
        <f aca="false">IF($G$28=0,"",G12/$G$28)</f>
        <v>0.0133451571349204</v>
      </c>
    </row>
    <row r="13" customFormat="false" ht="15" hidden="false" customHeight="true" outlineLevel="0" collapsed="false">
      <c r="A13" s="3" t="s">
        <v>48</v>
      </c>
      <c r="B13" s="18" t="n">
        <f aca="false">'Vendite 2025'!$F$8</f>
        <v>71</v>
      </c>
      <c r="C13" s="6" t="n">
        <f aca="false">'Prodotti Finiti'!$B$13</f>
        <v>2.5</v>
      </c>
      <c r="D13" s="6" t="n">
        <f aca="false">B13*C13</f>
        <v>177.5</v>
      </c>
      <c r="E13" s="6" t="n">
        <f aca="false">'Prodotti Finiti'!$C$13</f>
        <v>0.781351547911548</v>
      </c>
      <c r="F13" s="6" t="n">
        <f aca="false">B13*E13</f>
        <v>55.4759599017199</v>
      </c>
      <c r="G13" s="5" t="n">
        <f aca="false">D13-F13</f>
        <v>122.02404009828</v>
      </c>
      <c r="H13" s="8" t="n">
        <f aca="false">IF($G$28=0,"",G13/$G$28)</f>
        <v>0.0303057690325566</v>
      </c>
    </row>
    <row r="14" customFormat="false" ht="15" hidden="false" customHeight="true" outlineLevel="0" collapsed="false">
      <c r="A14" s="3" t="s">
        <v>51</v>
      </c>
      <c r="B14" s="18" t="n">
        <f aca="false">'Vendite 2025'!$F$9</f>
        <v>90</v>
      </c>
      <c r="C14" s="6" t="n">
        <f aca="false">'Prodotti Finiti'!$B$14</f>
        <v>4</v>
      </c>
      <c r="D14" s="6" t="n">
        <f aca="false">B14*C14</f>
        <v>360</v>
      </c>
      <c r="E14" s="6" t="n">
        <f aca="false">'Prodotti Finiti'!$C$14</f>
        <v>1.5004830958231</v>
      </c>
      <c r="F14" s="6" t="n">
        <f aca="false">B14*E14</f>
        <v>135.043478624079</v>
      </c>
      <c r="G14" s="5" t="n">
        <f aca="false">D14-F14</f>
        <v>224.956521375921</v>
      </c>
      <c r="H14" s="8" t="n">
        <f aca="false">IF($G$28=0,"",G14/$G$28)</f>
        <v>0.0558699775363539</v>
      </c>
    </row>
    <row r="15" customFormat="false" ht="15" hidden="false" customHeight="true" outlineLevel="0" collapsed="false">
      <c r="A15" s="3" t="s">
        <v>52</v>
      </c>
      <c r="B15" s="19" t="n">
        <v>0</v>
      </c>
      <c r="C15" s="6" t="n">
        <f aca="false">'Prodotti Finiti'!$B$15</f>
        <v>2</v>
      </c>
      <c r="D15" s="6" t="n">
        <f aca="false">B15*C15</f>
        <v>0</v>
      </c>
      <c r="E15" s="6" t="n">
        <f aca="false">'Prodotti Finiti'!$C$15</f>
        <v>0.792593333333333</v>
      </c>
      <c r="F15" s="6" t="n">
        <f aca="false">B15*E15</f>
        <v>0</v>
      </c>
      <c r="G15" s="5" t="n">
        <f aca="false">D15-F15</f>
        <v>0</v>
      </c>
      <c r="H15" s="8" t="n">
        <f aca="false">IF($G$28=0,"",G15/$G$28)</f>
        <v>0</v>
      </c>
    </row>
    <row r="16" customFormat="false" ht="15" hidden="false" customHeight="true" outlineLevel="0" collapsed="false">
      <c r="A16" s="3" t="s">
        <v>55</v>
      </c>
      <c r="B16" s="19" t="n">
        <v>0</v>
      </c>
      <c r="C16" s="6" t="n">
        <f aca="false">'Prodotti Finiti'!$B$16</f>
        <v>2</v>
      </c>
      <c r="D16" s="6" t="n">
        <f aca="false">B16*C16</f>
        <v>0</v>
      </c>
      <c r="E16" s="6" t="n">
        <f aca="false">'Prodotti Finiti'!$C$16</f>
        <v>0.792593333333333</v>
      </c>
      <c r="F16" s="6" t="n">
        <f aca="false">B16*E16</f>
        <v>0</v>
      </c>
      <c r="G16" s="5" t="n">
        <f aca="false">D16-F16</f>
        <v>0</v>
      </c>
      <c r="H16" s="8" t="n">
        <f aca="false">IF($G$28=0,"",G16/$G$28)</f>
        <v>0</v>
      </c>
    </row>
    <row r="17" customFormat="false" ht="15" hidden="false" customHeight="true" outlineLevel="0" collapsed="false">
      <c r="A17" s="3" t="s">
        <v>57</v>
      </c>
      <c r="B17" s="18" t="n">
        <f aca="false">'Vendite 2025'!$F$20</f>
        <v>29</v>
      </c>
      <c r="C17" s="6" t="n">
        <f aca="false">'Prodotti Finiti'!$B$17</f>
        <v>2</v>
      </c>
      <c r="D17" s="6" t="n">
        <f aca="false">B17*C17</f>
        <v>58</v>
      </c>
      <c r="E17" s="6" t="n">
        <f aca="false">'Prodotti Finiti'!$C$17</f>
        <v>0.792593333333333</v>
      </c>
      <c r="F17" s="6" t="n">
        <f aca="false">B17*E17</f>
        <v>22.9852066666667</v>
      </c>
      <c r="G17" s="5" t="n">
        <f aca="false">D17-F17</f>
        <v>35.0147933333333</v>
      </c>
      <c r="H17" s="8" t="n">
        <f aca="false">IF($G$28=0,"",G17/$G$28)</f>
        <v>0.00869623918883554</v>
      </c>
    </row>
    <row r="18" customFormat="false" ht="15" hidden="false" customHeight="true" outlineLevel="0" collapsed="false">
      <c r="A18" s="3" t="s">
        <v>59</v>
      </c>
      <c r="B18" s="18" t="n">
        <f aca="false">'Vendite 2025'!$F$21</f>
        <v>48</v>
      </c>
      <c r="C18" s="6" t="n">
        <f aca="false">'Prodotti Finiti'!$B$18</f>
        <v>2</v>
      </c>
      <c r="D18" s="6" t="n">
        <f aca="false">B18*C18</f>
        <v>96</v>
      </c>
      <c r="E18" s="6" t="n">
        <f aca="false">'Prodotti Finiti'!$C$18</f>
        <v>0.792593333333333</v>
      </c>
      <c r="F18" s="6" t="n">
        <f aca="false">B18*E18</f>
        <v>38.04448</v>
      </c>
      <c r="G18" s="5" t="n">
        <f aca="false">D18-F18</f>
        <v>57.95552</v>
      </c>
      <c r="H18" s="8" t="n">
        <f aca="false">IF($G$28=0,"",G18/$G$28)</f>
        <v>0.0143937752091071</v>
      </c>
    </row>
    <row r="19" customFormat="false" ht="15" hidden="false" customHeight="true" outlineLevel="0" collapsed="false">
      <c r="A19" s="3" t="s">
        <v>61</v>
      </c>
      <c r="B19" s="18" t="n">
        <f aca="false">'Vendite 2025'!$F$6</f>
        <v>15</v>
      </c>
      <c r="C19" s="6" t="n">
        <f aca="false">'Prodotti Finiti'!$B$19</f>
        <v>3</v>
      </c>
      <c r="D19" s="6" t="n">
        <f aca="false">B19*C19</f>
        <v>45</v>
      </c>
      <c r="E19" s="6" t="n">
        <f aca="false">'Prodotti Finiti'!$C$19</f>
        <v>1.04680919497037</v>
      </c>
      <c r="F19" s="6" t="n">
        <f aca="false">B19*E19</f>
        <v>15.7021379245556</v>
      </c>
      <c r="G19" s="5" t="n">
        <f aca="false">D19-F19</f>
        <v>29.2978620754444</v>
      </c>
      <c r="H19" s="8" t="n">
        <f aca="false">IF($G$28=0,"",G19/$G$28)</f>
        <v>0.00727638783710975</v>
      </c>
    </row>
    <row r="20" customFormat="false" ht="15" hidden="false" customHeight="true" outlineLevel="0" collapsed="false">
      <c r="A20" s="3" t="s">
        <v>63</v>
      </c>
      <c r="B20" s="18" t="n">
        <f aca="false">'Vendite 2025'!$F$7</f>
        <v>53</v>
      </c>
      <c r="C20" s="6" t="n">
        <f aca="false">'Prodotti Finiti'!$B$20</f>
        <v>5</v>
      </c>
      <c r="D20" s="6" t="n">
        <f aca="false">B20*C20</f>
        <v>265</v>
      </c>
      <c r="E20" s="6" t="n">
        <f aca="false">'Prodotti Finiti'!$C$20</f>
        <v>2.03139838994074</v>
      </c>
      <c r="F20" s="6" t="n">
        <f aca="false">B20*E20</f>
        <v>107.664114666859</v>
      </c>
      <c r="G20" s="5" t="n">
        <f aca="false">D20-F20</f>
        <v>157.335885333141</v>
      </c>
      <c r="H20" s="8" t="n">
        <f aca="false">IF($G$28=0,"",G20/$G$28)</f>
        <v>0.039075783735718</v>
      </c>
    </row>
    <row r="21" customFormat="false" ht="15" hidden="false" customHeight="true" outlineLevel="0" collapsed="false">
      <c r="A21" s="3" t="s">
        <v>64</v>
      </c>
      <c r="B21" s="18" t="n">
        <f aca="false">'Vendite 2025'!$F$4</f>
        <v>66</v>
      </c>
      <c r="C21" s="6" t="n">
        <f aca="false">'Prodotti Finiti'!$B$21</f>
        <v>2.5</v>
      </c>
      <c r="D21" s="6" t="n">
        <f aca="false">B21*C21</f>
        <v>165</v>
      </c>
      <c r="E21" s="6" t="n">
        <f aca="false">'Prodotti Finiti'!$C$21</f>
        <v>0.908109547911548</v>
      </c>
      <c r="F21" s="6" t="n">
        <f aca="false">B21*E21</f>
        <v>59.9352301621622</v>
      </c>
      <c r="G21" s="5" t="n">
        <f aca="false">D21-F21</f>
        <v>105.064769837838</v>
      </c>
      <c r="H21" s="8" t="n">
        <f aca="false">IF($G$28=0,"",G21/$G$28)</f>
        <v>0.0260937815663187</v>
      </c>
    </row>
    <row r="22" customFormat="false" ht="15" hidden="false" customHeight="true" outlineLevel="0" collapsed="false">
      <c r="A22" s="3" t="s">
        <v>66</v>
      </c>
      <c r="B22" s="18" t="n">
        <f aca="false">'Vendite 2025'!$F$5</f>
        <v>171</v>
      </c>
      <c r="C22" s="6" t="n">
        <f aca="false">'Prodotti Finiti'!$B$22</f>
        <v>4</v>
      </c>
      <c r="D22" s="6" t="n">
        <f aca="false">B22*C22</f>
        <v>684</v>
      </c>
      <c r="E22" s="6" t="n">
        <f aca="false">'Prodotti Finiti'!$C$22</f>
        <v>1.7539990958231</v>
      </c>
      <c r="F22" s="6" t="n">
        <f aca="false">B22*E22</f>
        <v>299.933845385749</v>
      </c>
      <c r="G22" s="5" t="n">
        <f aca="false">D22-F22</f>
        <v>384.066154614251</v>
      </c>
      <c r="H22" s="8" t="n">
        <f aca="false">IF($G$28=0,"",G22/$G$28)</f>
        <v>0.095386287534711</v>
      </c>
    </row>
    <row r="23" customFormat="false" ht="15" hidden="false" customHeight="true" outlineLevel="0" collapsed="false">
      <c r="A23" s="3" t="s">
        <v>67</v>
      </c>
      <c r="B23" s="18" t="n">
        <f aca="false">'Vendite 2025'!$F$22</f>
        <v>34</v>
      </c>
      <c r="C23" s="6" t="n">
        <f aca="false">'Prodotti Finiti'!$B$23</f>
        <v>2.5</v>
      </c>
      <c r="D23" s="6" t="n">
        <f aca="false">B23*C23</f>
        <v>85</v>
      </c>
      <c r="E23" s="6" t="n">
        <f aca="false">'Prodotti Finiti'!$C$23</f>
        <v>0.834104347911548</v>
      </c>
      <c r="F23" s="6" t="n">
        <f aca="false">B23*E23</f>
        <v>28.3595478289926</v>
      </c>
      <c r="G23" s="5" t="n">
        <f aca="false">D23-F23</f>
        <v>56.6404521710074</v>
      </c>
      <c r="H23" s="8" t="n">
        <f aca="false">IF($G$28=0,"",G23/$G$28)</f>
        <v>0.0140671662732327</v>
      </c>
    </row>
    <row r="24" customFormat="false" ht="15" hidden="false" customHeight="true" outlineLevel="0" collapsed="false">
      <c r="A24" s="3" t="s">
        <v>69</v>
      </c>
      <c r="B24" s="18" t="n">
        <f aca="false">'Vendite 2025'!$F$18</f>
        <v>22</v>
      </c>
      <c r="C24" s="6" t="n">
        <f aca="false">'Prodotti Finiti'!$B$24</f>
        <v>3.5</v>
      </c>
      <c r="D24" s="6" t="n">
        <f aca="false">B24*C24</f>
        <v>77</v>
      </c>
      <c r="E24" s="6" t="n">
        <f aca="false">'Prodotti Finiti'!$C$24</f>
        <v>1.40138253628174</v>
      </c>
      <c r="F24" s="6" t="n">
        <f aca="false">B24*E24</f>
        <v>30.8304157981982</v>
      </c>
      <c r="G24" s="5" t="n">
        <f aca="false">D24-F24</f>
        <v>46.1695842018018</v>
      </c>
      <c r="H24" s="8" t="n">
        <f aca="false">IF($G$28=0,"",G24/$G$28)</f>
        <v>0.011466631935986</v>
      </c>
    </row>
    <row r="25" customFormat="false" ht="15" hidden="false" customHeight="true" outlineLevel="0" collapsed="false">
      <c r="A25" s="3" t="s">
        <v>71</v>
      </c>
      <c r="B25" s="18" t="n">
        <f aca="false">'Vendite 2025'!$F$19</f>
        <v>11</v>
      </c>
      <c r="C25" s="6" t="n">
        <f aca="false">'Prodotti Finiti'!$B$25</f>
        <v>3.5</v>
      </c>
      <c r="D25" s="6" t="n">
        <f aca="false">B25*C25</f>
        <v>38.5</v>
      </c>
      <c r="E25" s="6" t="n">
        <f aca="false">'Prodotti Finiti'!$C$25</f>
        <v>1.6219992029484</v>
      </c>
      <c r="F25" s="6" t="n">
        <f aca="false">B25*E25</f>
        <v>17.8419912324324</v>
      </c>
      <c r="G25" s="5" t="n">
        <f aca="false">D25-F25</f>
        <v>20.6580087675676</v>
      </c>
      <c r="H25" s="8" t="n">
        <f aca="false">IF($G$28=0,"",G25/$G$28)</f>
        <v>0.00513060247700531</v>
      </c>
    </row>
    <row r="26" customFormat="false" ht="15" hidden="false" customHeight="true" outlineLevel="0" collapsed="false">
      <c r="A26" s="3" t="s">
        <v>73</v>
      </c>
      <c r="B26" s="19" t="n">
        <v>0</v>
      </c>
      <c r="C26" s="6" t="n">
        <f aca="false">'Prodotti Finiti'!$B$26</f>
        <v>3.5</v>
      </c>
      <c r="D26" s="6" t="n">
        <f aca="false">B26*C26</f>
        <v>0</v>
      </c>
      <c r="E26" s="6" t="n">
        <f aca="false">'Prodotti Finiti'!$C$26</f>
        <v>1.1818036156597</v>
      </c>
      <c r="F26" s="6" t="n">
        <f aca="false">B26*E26</f>
        <v>0</v>
      </c>
      <c r="G26" s="5" t="n">
        <f aca="false">D26-F26</f>
        <v>0</v>
      </c>
      <c r="H26" s="8" t="n">
        <f aca="false">IF($G$28=0,"",G26/$G$28)</f>
        <v>0</v>
      </c>
    </row>
    <row r="27" customFormat="false" ht="15" hidden="false" customHeight="true" outlineLevel="0" collapsed="false">
      <c r="A27" s="3" t="s">
        <v>74</v>
      </c>
      <c r="B27" s="19" t="n">
        <v>0</v>
      </c>
      <c r="C27" s="6" t="n">
        <f aca="false">'Prodotti Finiti'!$B$27</f>
        <v>3.5</v>
      </c>
      <c r="D27" s="6" t="n">
        <f aca="false">B27*C27</f>
        <v>0</v>
      </c>
      <c r="E27" s="6" t="n">
        <f aca="false">'Prodotti Finiti'!$C$27</f>
        <v>1.26028605637117</v>
      </c>
      <c r="F27" s="6" t="n">
        <f aca="false">B27*E27</f>
        <v>0</v>
      </c>
      <c r="G27" s="5" t="n">
        <f aca="false">D27-F27</f>
        <v>0</v>
      </c>
      <c r="H27" s="8" t="n">
        <f aca="false">IF($G$28=0,"",G27/$G$28)</f>
        <v>0</v>
      </c>
    </row>
    <row r="28" customFormat="false" ht="15" hidden="false" customHeight="true" outlineLevel="0" collapsed="false">
      <c r="A28" s="20" t="s">
        <v>83</v>
      </c>
      <c r="B28" s="21" t="n">
        <f aca="false">SUM(B2:B27)</f>
        <v>1749</v>
      </c>
      <c r="C28" s="22"/>
      <c r="D28" s="23" t="n">
        <f aca="false">SUM(D2:D27)</f>
        <v>6152.5</v>
      </c>
      <c r="E28" s="22"/>
      <c r="F28" s="23" t="n">
        <f aca="false">SUM(F2:F27)</f>
        <v>2126.07057769452</v>
      </c>
      <c r="G28" s="23" t="n">
        <f aca="false">SUM(G2:G27)</f>
        <v>4026.42942230548</v>
      </c>
      <c r="H28" s="22"/>
    </row>
    <row r="30" customFormat="false" ht="15" hidden="false" customHeight="true" outlineLevel="0" collapsed="false">
      <c r="A30" s="24" t="s">
        <v>84</v>
      </c>
      <c r="B30" s="25" t="n">
        <f aca="false">G28/D28</f>
        <v>0.654437939423889</v>
      </c>
    </row>
    <row r="31" customFormat="false" ht="15" hidden="false" customHeight="true" outlineLevel="0" collapsed="false">
      <c r="A31" s="17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6" min="6" style="1" width="32"/>
  </cols>
  <sheetData>
    <row r="1" customFormat="false" ht="15" hidden="false" customHeight="true" outlineLevel="0" collapsed="false">
      <c r="A1" s="26" t="s">
        <v>86</v>
      </c>
      <c r="B1" s="27"/>
      <c r="C1" s="27"/>
      <c r="D1" s="27"/>
      <c r="E1" s="27"/>
      <c r="F1" s="27"/>
    </row>
    <row r="2" customFormat="false" ht="15" hidden="false" customHeight="true" outlineLevel="0" collapsed="false">
      <c r="A2" s="28" t="s">
        <v>87</v>
      </c>
      <c r="B2" s="29" t="n">
        <v>1</v>
      </c>
    </row>
    <row r="3" customFormat="false" ht="15" hidden="false" customHeight="true" outlineLevel="0" collapsed="false">
      <c r="A3" s="28" t="s">
        <v>88</v>
      </c>
      <c r="B3" s="29" t="n">
        <v>1</v>
      </c>
    </row>
    <row r="4" customFormat="false" ht="15" hidden="false" customHeight="true" outlineLevel="0" collapsed="false">
      <c r="A4" s="17" t="s">
        <v>89</v>
      </c>
    </row>
    <row r="5" customFormat="false" ht="15" hidden="false" customHeight="true" outlineLevel="0" collapsed="false">
      <c r="A5" s="26" t="s">
        <v>90</v>
      </c>
      <c r="B5" s="27"/>
      <c r="C5" s="27"/>
      <c r="D5" s="27"/>
    </row>
    <row r="6" customFormat="false" ht="15" hidden="false" customHeight="true" outlineLevel="0" collapsed="false">
      <c r="A6" s="30" t="s">
        <v>0</v>
      </c>
      <c r="B6" s="30" t="s">
        <v>91</v>
      </c>
      <c r="C6" s="30" t="s">
        <v>92</v>
      </c>
      <c r="D6" s="30" t="s">
        <v>93</v>
      </c>
    </row>
    <row r="7" customFormat="false" ht="15" hidden="false" customHeight="true" outlineLevel="0" collapsed="false">
      <c r="A7" s="3" t="s">
        <v>23</v>
      </c>
      <c r="B7" s="18" t="n">
        <f aca="false">ROUND(SUM('Vendite 2025'!$B$13:$E$13)*$B$2,0)</f>
        <v>63</v>
      </c>
      <c r="C7" s="18" t="n">
        <f aca="false">ROUND(SUM('Vendite 2025'!$C$13:$E$13)*$B$3,0)</f>
        <v>43</v>
      </c>
      <c r="D7" s="31" t="n">
        <f aca="false">B7+C7</f>
        <v>106</v>
      </c>
    </row>
    <row r="8" customFormat="false" ht="15" hidden="false" customHeight="true" outlineLevel="0" collapsed="false">
      <c r="A8" s="3" t="s">
        <v>25</v>
      </c>
      <c r="B8" s="18" t="n">
        <f aca="false">ROUND(SUM('Vendite 2025'!$B$14:$E$14)*$B$2,0)</f>
        <v>133</v>
      </c>
      <c r="C8" s="18" t="n">
        <f aca="false">ROUND(SUM('Vendite 2025'!$C$14:$E$14)*$B$3,0)</f>
        <v>105</v>
      </c>
      <c r="D8" s="31" t="n">
        <f aca="false">B8+C8</f>
        <v>238</v>
      </c>
    </row>
    <row r="9" customFormat="false" ht="15" hidden="false" customHeight="true" outlineLevel="0" collapsed="false">
      <c r="A9" s="3" t="s">
        <v>27</v>
      </c>
      <c r="B9" s="18" t="n">
        <f aca="false">ROUND(SUM('Vendite 2025'!$B$11:$E$11)*$B$2,0)</f>
        <v>66</v>
      </c>
      <c r="C9" s="18" t="n">
        <f aca="false">ROUND(SUM('Vendite 2025'!$C$11:$E$11)*$B$3,0)</f>
        <v>56</v>
      </c>
      <c r="D9" s="31" t="n">
        <f aca="false">B9+C9</f>
        <v>122</v>
      </c>
    </row>
    <row r="10" customFormat="false" ht="15" hidden="false" customHeight="true" outlineLevel="0" collapsed="false">
      <c r="A10" s="3" t="s">
        <v>29</v>
      </c>
      <c r="B10" s="18" t="n">
        <f aca="false">ROUND(SUM('Vendite 2025'!$B$12:$E$12)*$B$2,0)</f>
        <v>128</v>
      </c>
      <c r="C10" s="18" t="n">
        <f aca="false">ROUND(SUM('Vendite 2025'!$C$12:$E$12)*$B$3,0)</f>
        <v>100</v>
      </c>
      <c r="D10" s="31" t="n">
        <f aca="false">B10+C10</f>
        <v>228</v>
      </c>
    </row>
    <row r="11" customFormat="false" ht="15" hidden="false" customHeight="true" outlineLevel="0" collapsed="false">
      <c r="A11" s="3" t="s">
        <v>31</v>
      </c>
      <c r="B11" s="18" t="n">
        <f aca="false">ROUND(SUM('Vendite 2025'!$B$15:$E$15)*$B$2,0)</f>
        <v>35</v>
      </c>
      <c r="C11" s="18" t="n">
        <f aca="false">ROUND(SUM('Vendite 2025'!$C$15:$E$15)*$B$3,0)</f>
        <v>32</v>
      </c>
      <c r="D11" s="31" t="n">
        <f aca="false">B11+C11</f>
        <v>67</v>
      </c>
    </row>
    <row r="12" customFormat="false" ht="15" hidden="false" customHeight="true" outlineLevel="0" collapsed="false">
      <c r="A12" s="3" t="s">
        <v>33</v>
      </c>
      <c r="B12" s="18" t="n">
        <f aca="false">ROUND(SUM('Vendite 2025'!$B$16:$E$16)*$B$2,0)</f>
        <v>90</v>
      </c>
      <c r="C12" s="18" t="n">
        <f aca="false">ROUND(SUM('Vendite 2025'!$C$16:$E$16)*$B$3,0)</f>
        <v>73</v>
      </c>
      <c r="D12" s="31" t="n">
        <f aca="false">B12+C12</f>
        <v>163</v>
      </c>
    </row>
    <row r="13" customFormat="false" ht="15" hidden="false" customHeight="true" outlineLevel="0" collapsed="false">
      <c r="A13" s="3" t="s">
        <v>35</v>
      </c>
      <c r="B13" s="18" t="n">
        <f aca="false">ROUND(SUM('Vendite 2025'!$B$17:$E$17)*$B$2,0)</f>
        <v>15</v>
      </c>
      <c r="C13" s="18" t="n">
        <f aca="false">ROUND(SUM('Vendite 2025'!$C$17:$E$17)*$B$3,0)</f>
        <v>13</v>
      </c>
      <c r="D13" s="31" t="n">
        <f aca="false">B13+C13</f>
        <v>28</v>
      </c>
    </row>
    <row r="14" customFormat="false" ht="15" hidden="false" customHeight="true" outlineLevel="0" collapsed="false">
      <c r="A14" s="3" t="s">
        <v>37</v>
      </c>
      <c r="B14" s="19" t="n">
        <v>0</v>
      </c>
      <c r="C14" s="19" t="n">
        <v>0</v>
      </c>
      <c r="D14" s="31" t="n">
        <f aca="false">B14+C14</f>
        <v>0</v>
      </c>
    </row>
    <row r="15" customFormat="false" ht="15" hidden="false" customHeight="true" outlineLevel="0" collapsed="false">
      <c r="A15" s="3" t="s">
        <v>40</v>
      </c>
      <c r="B15" s="18" t="n">
        <f aca="false">ROUND(SUM('Vendite 2025'!$B$10:$E$10)*$B$2,0)</f>
        <v>341</v>
      </c>
      <c r="C15" s="18" t="n">
        <f aca="false">ROUND(SUM('Vendite 2025'!$C$10:$E$10)*$B$3,0)</f>
        <v>289</v>
      </c>
      <c r="D15" s="31" t="n">
        <f aca="false">B15+C15</f>
        <v>630</v>
      </c>
    </row>
    <row r="16" customFormat="false" ht="15" hidden="false" customHeight="true" outlineLevel="0" collapsed="false">
      <c r="A16" s="3" t="s">
        <v>43</v>
      </c>
      <c r="B16" s="18" t="n">
        <f aca="false">ROUND(SUM('Vendite 2025'!$B$3:$E$3)*$B$2,0)</f>
        <v>206</v>
      </c>
      <c r="C16" s="18" t="n">
        <f aca="false">ROUND(SUM('Vendite 2025'!$C$3:$E$3)*$B$3,0)</f>
        <v>175</v>
      </c>
      <c r="D16" s="31" t="n">
        <f aca="false">B16+C16</f>
        <v>381</v>
      </c>
    </row>
    <row r="17" customFormat="false" ht="15" hidden="false" customHeight="true" outlineLevel="0" collapsed="false">
      <c r="A17" s="3" t="s">
        <v>46</v>
      </c>
      <c r="B17" s="18" t="n">
        <f aca="false">ROUND(SUM('Vendite 2025'!$B$2:$E$2)*$B$2,0)</f>
        <v>62</v>
      </c>
      <c r="C17" s="18" t="n">
        <f aca="false">ROUND(SUM('Vendite 2025'!$C$2:$E$2)*$B$3,0)</f>
        <v>51</v>
      </c>
      <c r="D17" s="31" t="n">
        <f aca="false">B17+C17</f>
        <v>113</v>
      </c>
    </row>
    <row r="18" customFormat="false" ht="15" hidden="false" customHeight="true" outlineLevel="0" collapsed="false">
      <c r="A18" s="3" t="s">
        <v>48</v>
      </c>
      <c r="B18" s="18" t="n">
        <f aca="false">ROUND(SUM('Vendite 2025'!$B$8:$E$8)*$B$2,0)</f>
        <v>71</v>
      </c>
      <c r="C18" s="18" t="n">
        <f aca="false">ROUND(SUM('Vendite 2025'!$C$8:$E$8)*$B$3,0)</f>
        <v>62</v>
      </c>
      <c r="D18" s="31" t="n">
        <f aca="false">B18+C18</f>
        <v>133</v>
      </c>
    </row>
    <row r="19" customFormat="false" ht="15" hidden="false" customHeight="true" outlineLevel="0" collapsed="false">
      <c r="A19" s="3" t="s">
        <v>51</v>
      </c>
      <c r="B19" s="18" t="n">
        <f aca="false">ROUND(SUM('Vendite 2025'!$B$9:$E$9)*$B$2,0)</f>
        <v>90</v>
      </c>
      <c r="C19" s="18" t="n">
        <f aca="false">ROUND(SUM('Vendite 2025'!$C$9:$E$9)*$B$3,0)</f>
        <v>76</v>
      </c>
      <c r="D19" s="31" t="n">
        <f aca="false">B19+C19</f>
        <v>166</v>
      </c>
    </row>
    <row r="20" customFormat="false" ht="15" hidden="false" customHeight="true" outlineLevel="0" collapsed="false">
      <c r="A20" s="3" t="s">
        <v>52</v>
      </c>
      <c r="B20" s="19" t="n">
        <v>0</v>
      </c>
      <c r="C20" s="19" t="n">
        <v>0</v>
      </c>
      <c r="D20" s="31" t="n">
        <f aca="false">B20+C20</f>
        <v>0</v>
      </c>
    </row>
    <row r="21" customFormat="false" ht="15" hidden="false" customHeight="true" outlineLevel="0" collapsed="false">
      <c r="A21" s="3" t="s">
        <v>55</v>
      </c>
      <c r="B21" s="19" t="n">
        <v>0</v>
      </c>
      <c r="C21" s="19" t="n">
        <v>0</v>
      </c>
      <c r="D21" s="31" t="n">
        <f aca="false">B21+C21</f>
        <v>0</v>
      </c>
    </row>
    <row r="22" customFormat="false" ht="15" hidden="false" customHeight="true" outlineLevel="0" collapsed="false">
      <c r="A22" s="3" t="s">
        <v>57</v>
      </c>
      <c r="B22" s="18" t="n">
        <f aca="false">ROUND(SUM('Vendite 2025'!$B$20:$E$20)*$B$2,0)</f>
        <v>29</v>
      </c>
      <c r="C22" s="18" t="n">
        <f aca="false">ROUND(SUM('Vendite 2025'!$C$20:$E$20)*$B$3,0)</f>
        <v>24</v>
      </c>
      <c r="D22" s="31" t="n">
        <f aca="false">B22+C22</f>
        <v>53</v>
      </c>
    </row>
    <row r="23" customFormat="false" ht="15" hidden="false" customHeight="true" outlineLevel="0" collapsed="false">
      <c r="A23" s="3" t="s">
        <v>59</v>
      </c>
      <c r="B23" s="18" t="n">
        <f aca="false">ROUND(SUM('Vendite 2025'!$B$21:$E$21)*$B$2,0)</f>
        <v>48</v>
      </c>
      <c r="C23" s="18" t="n">
        <f aca="false">ROUND(SUM('Vendite 2025'!$C$21:$E$21)*$B$3,0)</f>
        <v>41</v>
      </c>
      <c r="D23" s="31" t="n">
        <f aca="false">B23+C23</f>
        <v>89</v>
      </c>
    </row>
    <row r="24" customFormat="false" ht="15" hidden="false" customHeight="true" outlineLevel="0" collapsed="false">
      <c r="A24" s="3" t="s">
        <v>61</v>
      </c>
      <c r="B24" s="18" t="n">
        <f aca="false">ROUND(SUM('Vendite 2025'!$B$6:$E$6)*$B$2,0)</f>
        <v>15</v>
      </c>
      <c r="C24" s="18" t="n">
        <f aca="false">ROUND(SUM('Vendite 2025'!$C$6:$E$6)*$B$3,0)</f>
        <v>14</v>
      </c>
      <c r="D24" s="31" t="n">
        <f aca="false">B24+C24</f>
        <v>29</v>
      </c>
    </row>
    <row r="25" customFormat="false" ht="15" hidden="false" customHeight="true" outlineLevel="0" collapsed="false">
      <c r="A25" s="3" t="s">
        <v>63</v>
      </c>
      <c r="B25" s="18" t="n">
        <f aca="false">ROUND(SUM('Vendite 2025'!$B$7:$E$7)*$B$2,0)</f>
        <v>53</v>
      </c>
      <c r="C25" s="18" t="n">
        <f aca="false">ROUND(SUM('Vendite 2025'!$C$7:$E$7)*$B$3,0)</f>
        <v>47</v>
      </c>
      <c r="D25" s="31" t="n">
        <f aca="false">B25+C25</f>
        <v>100</v>
      </c>
    </row>
    <row r="26" customFormat="false" ht="15" hidden="false" customHeight="true" outlineLevel="0" collapsed="false">
      <c r="A26" s="3" t="s">
        <v>64</v>
      </c>
      <c r="B26" s="18" t="n">
        <f aca="false">ROUND(SUM('Vendite 2025'!$B$4:$E$4)*$B$2,0)</f>
        <v>66</v>
      </c>
      <c r="C26" s="18" t="n">
        <f aca="false">ROUND(SUM('Vendite 2025'!$C$4:$E$4)*$B$3,0)</f>
        <v>53</v>
      </c>
      <c r="D26" s="31" t="n">
        <f aca="false">B26+C26</f>
        <v>119</v>
      </c>
    </row>
    <row r="27" customFormat="false" ht="15" hidden="false" customHeight="true" outlineLevel="0" collapsed="false">
      <c r="A27" s="3" t="s">
        <v>66</v>
      </c>
      <c r="B27" s="18" t="n">
        <f aca="false">ROUND(SUM('Vendite 2025'!$B$5:$E$5)*$B$2,0)</f>
        <v>171</v>
      </c>
      <c r="C27" s="18" t="n">
        <f aca="false">ROUND(SUM('Vendite 2025'!$C$5:$E$5)*$B$3,0)</f>
        <v>146</v>
      </c>
      <c r="D27" s="31" t="n">
        <f aca="false">B27+C27</f>
        <v>317</v>
      </c>
    </row>
    <row r="28" customFormat="false" ht="15" hidden="false" customHeight="true" outlineLevel="0" collapsed="false">
      <c r="A28" s="3" t="s">
        <v>67</v>
      </c>
      <c r="B28" s="18" t="n">
        <f aca="false">ROUND(SUM('Vendite 2025'!$B$22:$E$22)*$B$2,0)</f>
        <v>34</v>
      </c>
      <c r="C28" s="18" t="n">
        <f aca="false">ROUND(SUM('Vendite 2025'!$C$22:$E$22)*$B$3,0)</f>
        <v>23</v>
      </c>
      <c r="D28" s="31" t="n">
        <f aca="false">B28+C28</f>
        <v>57</v>
      </c>
    </row>
    <row r="29" customFormat="false" ht="15" hidden="false" customHeight="true" outlineLevel="0" collapsed="false">
      <c r="A29" s="3" t="s">
        <v>69</v>
      </c>
      <c r="B29" s="18" t="n">
        <f aca="false">ROUND(SUM('Vendite 2025'!$B$18:$E$18)*$B$2,0)</f>
        <v>22</v>
      </c>
      <c r="C29" s="18" t="n">
        <f aca="false">ROUND(SUM('Vendite 2025'!$C$18:$E$18)*$B$3,0)</f>
        <v>16</v>
      </c>
      <c r="D29" s="31" t="n">
        <f aca="false">B29+C29</f>
        <v>38</v>
      </c>
    </row>
    <row r="30" customFormat="false" ht="15" hidden="false" customHeight="true" outlineLevel="0" collapsed="false">
      <c r="A30" s="3" t="s">
        <v>71</v>
      </c>
      <c r="B30" s="18" t="n">
        <f aca="false">ROUND(SUM('Vendite 2025'!$B$19:$E$19)*$B$2,0)</f>
        <v>11</v>
      </c>
      <c r="C30" s="18" t="n">
        <f aca="false">ROUND(SUM('Vendite 2025'!$C$19:$E$19)*$B$3,0)</f>
        <v>9</v>
      </c>
      <c r="D30" s="31" t="n">
        <f aca="false">B30+C30</f>
        <v>20</v>
      </c>
    </row>
    <row r="31" customFormat="false" ht="15" hidden="false" customHeight="true" outlineLevel="0" collapsed="false">
      <c r="A31" s="3" t="s">
        <v>73</v>
      </c>
      <c r="B31" s="19" t="n">
        <v>0</v>
      </c>
      <c r="C31" s="19" t="n">
        <v>0</v>
      </c>
      <c r="D31" s="31" t="n">
        <f aca="false">B31+C31</f>
        <v>0</v>
      </c>
    </row>
    <row r="32" customFormat="false" ht="15" hidden="false" customHeight="true" outlineLevel="0" collapsed="false">
      <c r="A32" s="3" t="s">
        <v>74</v>
      </c>
      <c r="B32" s="19" t="n">
        <v>0</v>
      </c>
      <c r="C32" s="19" t="n">
        <v>0</v>
      </c>
      <c r="D32" s="31" t="n">
        <f aca="false">B32+C32</f>
        <v>0</v>
      </c>
    </row>
    <row r="33" customFormat="false" ht="15" hidden="false" customHeight="true" outlineLevel="0" collapsed="false">
      <c r="A33" s="20" t="s">
        <v>94</v>
      </c>
      <c r="B33" s="32" t="n">
        <f aca="false">SUM(B7:B32)</f>
        <v>1749</v>
      </c>
      <c r="C33" s="32" t="n">
        <f aca="false">SUM(C7:C32)</f>
        <v>1448</v>
      </c>
      <c r="D33" s="32" t="n">
        <f aca="false">SUM(D7:D32)</f>
        <v>3197</v>
      </c>
    </row>
    <row r="35" customFormat="false" ht="15" hidden="false" customHeight="true" outlineLevel="0" collapsed="false">
      <c r="A35" s="26" t="s">
        <v>95</v>
      </c>
      <c r="B35" s="27"/>
      <c r="C35" s="27"/>
      <c r="D35" s="27"/>
      <c r="E35" s="27"/>
      <c r="F35" s="27"/>
    </row>
    <row r="36" customFormat="false" ht="31.5" hidden="false" customHeight="true" outlineLevel="0" collapsed="false">
      <c r="A36" s="2" t="s">
        <v>96</v>
      </c>
      <c r="B36" s="2" t="s">
        <v>91</v>
      </c>
      <c r="C36" s="2" t="s">
        <v>92</v>
      </c>
      <c r="D36" s="2" t="s">
        <v>93</v>
      </c>
      <c r="E36" s="2" t="s">
        <v>97</v>
      </c>
      <c r="F36" s="2" t="s">
        <v>98</v>
      </c>
    </row>
    <row r="37" customFormat="false" ht="15" hidden="false" customHeight="true" outlineLevel="0" collapsed="false">
      <c r="A37" s="3" t="s">
        <v>99</v>
      </c>
      <c r="B37" s="33" t="n">
        <f aca="false">B7+B8+B9+B10+B11+B12+B13</f>
        <v>530</v>
      </c>
      <c r="C37" s="33" t="n">
        <f aca="false">C7+C8+C9+C10+C11+C12+C13</f>
        <v>422</v>
      </c>
      <c r="D37" s="34" t="n">
        <f aca="false">B37+C37</f>
        <v>952</v>
      </c>
      <c r="E37" s="28" t="s">
        <v>100</v>
      </c>
      <c r="F37" s="35" t="str">
        <f aca="false">CEILING(D37/24,1)&amp;" cartoni da 24"</f>
        <v>40 cartoni da 24</v>
      </c>
    </row>
    <row r="38" customFormat="false" ht="15" hidden="false" customHeight="true" outlineLevel="0" collapsed="false">
      <c r="A38" s="3" t="s">
        <v>101</v>
      </c>
      <c r="B38" s="33" t="n">
        <f aca="false">B14</f>
        <v>0</v>
      </c>
      <c r="C38" s="33" t="n">
        <f aca="false">C14</f>
        <v>0</v>
      </c>
      <c r="D38" s="34" t="n">
        <f aca="false">B38+C38</f>
        <v>0</v>
      </c>
      <c r="E38" s="28" t="s">
        <v>100</v>
      </c>
      <c r="F38" s="35" t="str">
        <f aca="false">CEILING(D38/(Parametri!$B$45*Parametri!$B$46),1)&amp;" cartoni"</f>
        <v>0 cartoni</v>
      </c>
    </row>
    <row r="39" customFormat="false" ht="15" hidden="false" customHeight="true" outlineLevel="0" collapsed="false">
      <c r="A39" s="3" t="s">
        <v>102</v>
      </c>
      <c r="B39" s="33" t="n">
        <f aca="false">B14</f>
        <v>0</v>
      </c>
      <c r="C39" s="33" t="n">
        <f aca="false">C14</f>
        <v>0</v>
      </c>
      <c r="D39" s="34" t="n">
        <f aca="false">B39+C39</f>
        <v>0</v>
      </c>
      <c r="E39" s="28" t="s">
        <v>100</v>
      </c>
      <c r="F39" s="22"/>
    </row>
    <row r="40" customFormat="false" ht="15" hidden="false" customHeight="true" outlineLevel="0" collapsed="false">
      <c r="A40" s="3" t="s">
        <v>103</v>
      </c>
      <c r="B40" s="36" t="n">
        <f aca="false">(B7*Parametri!$B$4+B8*Parametri!$B$5)/1000</f>
        <v>16.94</v>
      </c>
      <c r="C40" s="36" t="n">
        <f aca="false">(C7*Parametri!$B$4+C8*Parametri!$B$5)/1000</f>
        <v>12.7</v>
      </c>
      <c r="D40" s="37" t="n">
        <f aca="false">B40+C40</f>
        <v>29.64</v>
      </c>
      <c r="E40" s="28" t="s">
        <v>104</v>
      </c>
      <c r="F40" s="22"/>
    </row>
    <row r="41" customFormat="false" ht="15" hidden="false" customHeight="true" outlineLevel="0" collapsed="false">
      <c r="A41" s="3" t="s">
        <v>105</v>
      </c>
      <c r="B41" s="36" t="n">
        <f aca="false">(B9*Parametri!$B$4+B10*Parametri!$B$5)/1000</f>
        <v>16.84</v>
      </c>
      <c r="C41" s="36" t="n">
        <f aca="false">(C9*Parametri!$B$4+C10*Parametri!$B$5)/1000</f>
        <v>13.6</v>
      </c>
      <c r="D41" s="37" t="n">
        <f aca="false">B41+C41</f>
        <v>30.44</v>
      </c>
      <c r="E41" s="28" t="s">
        <v>104</v>
      </c>
      <c r="F41" s="22"/>
    </row>
    <row r="42" customFormat="false" ht="15" hidden="false" customHeight="true" outlineLevel="0" collapsed="false">
      <c r="A42" s="3" t="s">
        <v>106</v>
      </c>
      <c r="B42" s="36" t="n">
        <f aca="false">(B11*Parametri!$B$4+B12*Parametri!$B$5)/1000</f>
        <v>10.7</v>
      </c>
      <c r="C42" s="36" t="n">
        <f aca="false">(C11*Parametri!$B$4+C12*Parametri!$B$5)/1000</f>
        <v>9.04</v>
      </c>
      <c r="D42" s="37" t="n">
        <f aca="false">B42+C42</f>
        <v>19.74</v>
      </c>
      <c r="E42" s="28" t="s">
        <v>104</v>
      </c>
      <c r="F42" s="22"/>
    </row>
    <row r="43" customFormat="false" ht="15" hidden="false" customHeight="true" outlineLevel="0" collapsed="false">
      <c r="A43" s="3" t="s">
        <v>107</v>
      </c>
      <c r="B43" s="36" t="n">
        <f aca="false">((B8+B10+B12)*Parametri!$B$6+B13*Parametri!$B$7+B14*Parametri!$B$48)/1000</f>
        <v>8.52</v>
      </c>
      <c r="C43" s="36" t="n">
        <f aca="false">((C8+C10+C12)*Parametri!$B$6+C13*Parametri!$B$7+C14*Parametri!$B$48)/1000</f>
        <v>6.86</v>
      </c>
      <c r="D43" s="37" t="n">
        <f aca="false">B43+C43</f>
        <v>15.38</v>
      </c>
      <c r="E43" s="28" t="s">
        <v>104</v>
      </c>
      <c r="F43" s="22"/>
    </row>
    <row r="44" customFormat="false" ht="15" hidden="false" customHeight="true" outlineLevel="0" collapsed="false">
      <c r="A44" s="3" t="s">
        <v>108</v>
      </c>
      <c r="B44" s="36" t="n">
        <f aca="false">B15*Parametri!$B$9/1000+B14*Parametri!$B$78/1000</f>
        <v>68.2</v>
      </c>
      <c r="C44" s="36" t="n">
        <f aca="false">C15*Parametri!$B$9/1000+C14*Parametri!$B$78/1000</f>
        <v>57.8</v>
      </c>
      <c r="D44" s="37" t="n">
        <f aca="false">B44+C44</f>
        <v>126</v>
      </c>
      <c r="E44" s="28" t="s">
        <v>104</v>
      </c>
      <c r="F44" s="35" t="str">
        <f aca="false">CEILING(D44/2.5,1)&amp;" sacchi da 2,5 kg"</f>
        <v>51 sacchi da 2,5 kg</v>
      </c>
    </row>
    <row r="45" customFormat="false" ht="15" hidden="false" customHeight="true" outlineLevel="0" collapsed="false">
      <c r="A45" s="3" t="s">
        <v>109</v>
      </c>
      <c r="B45" s="36" t="n">
        <f aca="false">B31*Parametri!$B$56/1000</f>
        <v>0</v>
      </c>
      <c r="C45" s="36" t="n">
        <f aca="false">C31*Parametri!$B$56/1000</f>
        <v>0</v>
      </c>
      <c r="D45" s="37" t="n">
        <f aca="false">B45+C45</f>
        <v>0</v>
      </c>
      <c r="E45" s="28" t="s">
        <v>104</v>
      </c>
      <c r="F45" s="35" t="str">
        <f aca="false">CEILING(D45/0.4,1)&amp;" buste da 400 g"</f>
        <v>0 buste da 400 g</v>
      </c>
    </row>
    <row r="46" customFormat="false" ht="15" hidden="false" customHeight="true" outlineLevel="0" collapsed="false">
      <c r="A46" s="3" t="s">
        <v>110</v>
      </c>
      <c r="B46" s="36" t="n">
        <f aca="false">B32*Parametri!$B$65/1000</f>
        <v>0</v>
      </c>
      <c r="C46" s="36" t="n">
        <f aca="false">C32*Parametri!$B$65/1000</f>
        <v>0</v>
      </c>
      <c r="D46" s="37" t="n">
        <f aca="false">B46+C46</f>
        <v>0</v>
      </c>
      <c r="E46" s="28" t="s">
        <v>104</v>
      </c>
      <c r="F46" s="35" t="str">
        <f aca="false">CEILING(D46/0.5,1)&amp;" buste da 500 g"</f>
        <v>0 buste da 500 g</v>
      </c>
    </row>
    <row r="47" customFormat="false" ht="15" hidden="false" customHeight="true" outlineLevel="0" collapsed="false">
      <c r="A47" s="3" t="s">
        <v>111</v>
      </c>
      <c r="B47" s="36" t="n">
        <f aca="false">B15*Parametri!$B$12/1000+B14*Parametri!$B$78*Parametri!$B$79/0.92/1000+B31*Parametri!$B$56*Parametri!$B$57/0.92/1000+B32*Parametri!$B$65*Parametri!$B$66/0.92/1000</f>
        <v>7.41304347826087</v>
      </c>
      <c r="C47" s="36" t="n">
        <f aca="false">C15*Parametri!$B$12/1000+C14*Parametri!$B$78*Parametri!$B$79/0.92/1000+C31*Parametri!$B$56*Parametri!$B$57/0.92/1000+C32*Parametri!$B$65*Parametri!$B$66/0.92/1000</f>
        <v>6.28260869565217</v>
      </c>
      <c r="D47" s="37" t="n">
        <f aca="false">B47+C47</f>
        <v>13.695652173913</v>
      </c>
      <c r="E47" s="28" t="s">
        <v>112</v>
      </c>
      <c r="F47" s="35" t="str">
        <f aca="false">CEILING(D47/10,1)&amp;" taniche da 10 L"</f>
        <v>2 taniche da 10 L</v>
      </c>
    </row>
    <row r="48" customFormat="false" ht="15" hidden="false" customHeight="true" outlineLevel="0" collapsed="false">
      <c r="A48" s="3" t="s">
        <v>113</v>
      </c>
      <c r="B48" s="33" t="n">
        <f aca="false">B15*Parametri!$B$15+B14*Parametri!$B$82+B31*Parametri!$B$60+B32*Parametri!$B$69</f>
        <v>341</v>
      </c>
      <c r="C48" s="33" t="n">
        <f aca="false">C15*Parametri!$B$15+C14*Parametri!$B$82+C31*Parametri!$B$60+C32*Parametri!$B$69</f>
        <v>289</v>
      </c>
      <c r="D48" s="34" t="n">
        <f aca="false">B48+C48</f>
        <v>630</v>
      </c>
      <c r="E48" s="28" t="s">
        <v>114</v>
      </c>
      <c r="F48" s="35" t="str">
        <f aca="false">CEILING(D48/132,1)&amp;" confezioni da 132"</f>
        <v>5 confezioni da 132</v>
      </c>
    </row>
    <row r="49" customFormat="false" ht="15" hidden="false" customHeight="true" outlineLevel="0" collapsed="false">
      <c r="A49" s="3" t="s">
        <v>115</v>
      </c>
      <c r="B49" s="33" t="n">
        <f aca="false">B15*Parametri!$B$16+B14*Parametri!$B$83+B31*Parametri!$B$61+B32*Parametri!$B$70</f>
        <v>341</v>
      </c>
      <c r="C49" s="33" t="n">
        <f aca="false">C15*Parametri!$B$16+C14*Parametri!$B$83+C31*Parametri!$B$61+C32*Parametri!$B$70</f>
        <v>289</v>
      </c>
      <c r="D49" s="34" t="n">
        <f aca="false">B49+C49</f>
        <v>630</v>
      </c>
      <c r="E49" s="28" t="s">
        <v>114</v>
      </c>
      <c r="F49" s="35" t="str">
        <f aca="false">CEILING(D49/132,1)&amp;" confezioni da 132"</f>
        <v>5 confezioni da 132</v>
      </c>
    </row>
    <row r="50" customFormat="false" ht="15" hidden="false" customHeight="true" outlineLevel="0" collapsed="false">
      <c r="A50" s="3" t="s">
        <v>116</v>
      </c>
      <c r="B50" s="33" t="n">
        <f aca="false">B15*Parametri!$B$17+B14*Parametri!$B$84+B31*Parametri!$B$62+B32*Parametri!$B$71</f>
        <v>682</v>
      </c>
      <c r="C50" s="33" t="n">
        <f aca="false">C15*Parametri!$B$17+C14*Parametri!$B$84+C31*Parametri!$B$62+C32*Parametri!$B$71</f>
        <v>578</v>
      </c>
      <c r="D50" s="34" t="n">
        <f aca="false">B50+C50</f>
        <v>1260</v>
      </c>
      <c r="E50" s="28" t="s">
        <v>100</v>
      </c>
      <c r="F50" s="35" t="str">
        <f aca="false">CEILING(D50/600,1)&amp;" colli da 600"</f>
        <v>3 colli da 600</v>
      </c>
    </row>
    <row r="51" customFormat="false" ht="15" hidden="false" customHeight="true" outlineLevel="0" collapsed="false">
      <c r="A51" s="3" t="s">
        <v>117</v>
      </c>
      <c r="B51" s="36" t="n">
        <f aca="false">B26*0.2+B27*0.4</f>
        <v>81.6</v>
      </c>
      <c r="C51" s="36" t="n">
        <f aca="false">C26*0.2+C27*0.4</f>
        <v>69</v>
      </c>
      <c r="D51" s="37" t="n">
        <f aca="false">B51+C51</f>
        <v>150.6</v>
      </c>
      <c r="E51" s="28" t="s">
        <v>112</v>
      </c>
      <c r="F51" s="35" t="str">
        <f aca="false">CEILING(D51/20,1)&amp;" fusti da 20 L"</f>
        <v>8 fusti da 20 L</v>
      </c>
    </row>
    <row r="52" customFormat="false" ht="15" hidden="false" customHeight="true" outlineLevel="0" collapsed="false">
      <c r="A52" s="3" t="s">
        <v>118</v>
      </c>
      <c r="B52" s="36" t="n">
        <f aca="false">B24*0.2+B25*0.4</f>
        <v>24.2</v>
      </c>
      <c r="C52" s="36" t="n">
        <f aca="false">C24*0.2+C25*0.4</f>
        <v>21.6</v>
      </c>
      <c r="D52" s="37" t="n">
        <f aca="false">B52+C52</f>
        <v>45.8</v>
      </c>
      <c r="E52" s="28" t="s">
        <v>112</v>
      </c>
      <c r="F52" s="35" t="str">
        <f aca="false">CEILING(D52/15.3,1)&amp;" fusti da 15,3 L"</f>
        <v>3 fusti da 15,3 L</v>
      </c>
    </row>
    <row r="53" customFormat="false" ht="15" hidden="false" customHeight="true" outlineLevel="0" collapsed="false">
      <c r="A53" s="3" t="s">
        <v>119</v>
      </c>
      <c r="B53" s="36" t="n">
        <f aca="false">B28*0.2+(B29+B30)*Parametri!$B$27/1000</f>
        <v>10.65</v>
      </c>
      <c r="C53" s="36" t="n">
        <f aca="false">C28*0.2+(C29+C30)*Parametri!$B$27/1000</f>
        <v>7.51666666666667</v>
      </c>
      <c r="D53" s="37" t="n">
        <f aca="false">B53+C53</f>
        <v>18.1666666666667</v>
      </c>
      <c r="E53" s="28" t="s">
        <v>112</v>
      </c>
      <c r="F53" s="35" t="str">
        <f aca="false">CEILING(D53/25,1)&amp;" fusti da 25 L"</f>
        <v>1 fusti da 25 L</v>
      </c>
    </row>
    <row r="54" customFormat="false" ht="15" hidden="false" customHeight="true" outlineLevel="0" collapsed="false">
      <c r="A54" s="3" t="s">
        <v>120</v>
      </c>
      <c r="B54" s="36" t="n">
        <f aca="false">B18*0.2+B19*0.4</f>
        <v>50.2</v>
      </c>
      <c r="C54" s="36" t="n">
        <f aca="false">C18*0.2+C19*0.4</f>
        <v>42.8</v>
      </c>
      <c r="D54" s="37" t="n">
        <f aca="false">B54+C54</f>
        <v>93</v>
      </c>
      <c r="E54" s="28" t="s">
        <v>112</v>
      </c>
      <c r="F54" s="35" t="str">
        <f aca="false">CEILING(D54/18,1)&amp;" fusti da 18 L"</f>
        <v>6 fusti da 18 L</v>
      </c>
    </row>
    <row r="55" customFormat="false" ht="15" hidden="false" customHeight="true" outlineLevel="0" collapsed="false">
      <c r="A55" s="3" t="s">
        <v>121</v>
      </c>
      <c r="B55" s="33" t="n">
        <f aca="false">B20</f>
        <v>0</v>
      </c>
      <c r="C55" s="33" t="n">
        <f aca="false">C20</f>
        <v>0</v>
      </c>
      <c r="D55" s="34" t="n">
        <f aca="false">B55+C55</f>
        <v>0</v>
      </c>
      <c r="E55" s="28" t="s">
        <v>100</v>
      </c>
      <c r="F55" s="35" t="str">
        <f aca="false">CEILING(D55/24,1)&amp;" cartoni da 24"</f>
        <v>0 cartoni da 24</v>
      </c>
    </row>
    <row r="56" customFormat="false" ht="15" hidden="false" customHeight="true" outlineLevel="0" collapsed="false">
      <c r="A56" s="3" t="s">
        <v>122</v>
      </c>
      <c r="B56" s="33" t="n">
        <f aca="false">B21</f>
        <v>0</v>
      </c>
      <c r="C56" s="33" t="n">
        <f aca="false">C21</f>
        <v>0</v>
      </c>
      <c r="D56" s="34" t="n">
        <f aca="false">B56+C56</f>
        <v>0</v>
      </c>
      <c r="E56" s="28" t="s">
        <v>100</v>
      </c>
      <c r="F56" s="35" t="str">
        <f aca="false">CEILING(D56/24,1)&amp;" cartoni da 24"</f>
        <v>0 cartoni da 24</v>
      </c>
    </row>
    <row r="57" customFormat="false" ht="15" hidden="false" customHeight="true" outlineLevel="0" collapsed="false">
      <c r="A57" s="3" t="s">
        <v>123</v>
      </c>
      <c r="B57" s="36" t="n">
        <f aca="false">B29*Parametri!$B$28/1000</f>
        <v>1.28333333333333</v>
      </c>
      <c r="C57" s="36" t="n">
        <f aca="false">C29*Parametri!$B$28/1000</f>
        <v>0.933333333333333</v>
      </c>
      <c r="D57" s="37" t="n">
        <f aca="false">B57+C57</f>
        <v>2.21666666666667</v>
      </c>
      <c r="E57" s="28" t="s">
        <v>112</v>
      </c>
      <c r="F57" s="35" t="str">
        <f aca="false">CEILING(D57,1)&amp;" bottiglie da 1 L"</f>
        <v>3 bottiglie da 1 L</v>
      </c>
    </row>
    <row r="58" customFormat="false" ht="15" hidden="false" customHeight="true" outlineLevel="0" collapsed="false">
      <c r="A58" s="3" t="s">
        <v>124</v>
      </c>
      <c r="B58" s="36" t="n">
        <f aca="false">B30*Parametri!$B$28/1000</f>
        <v>0.641666666666667</v>
      </c>
      <c r="C58" s="36" t="n">
        <f aca="false">C30*Parametri!$B$28/1000</f>
        <v>0.525</v>
      </c>
      <c r="D58" s="37" t="n">
        <f aca="false">B58+C58</f>
        <v>1.16666666666667</v>
      </c>
      <c r="E58" s="28" t="s">
        <v>112</v>
      </c>
      <c r="F58" s="35" t="str">
        <f aca="false">CEILING(D58,1)&amp;" bottiglie da 1 L"</f>
        <v>2 bottiglie da 1 L</v>
      </c>
    </row>
    <row r="59" customFormat="false" ht="15" hidden="false" customHeight="true" outlineLevel="0" collapsed="false">
      <c r="A59" s="3" t="s">
        <v>125</v>
      </c>
      <c r="B59" s="33" t="n">
        <f aca="false">B16</f>
        <v>206</v>
      </c>
      <c r="C59" s="33" t="n">
        <f aca="false">C16</f>
        <v>175</v>
      </c>
      <c r="D59" s="34" t="n">
        <f aca="false">B59+C59</f>
        <v>381</v>
      </c>
      <c r="E59" s="28" t="s">
        <v>126</v>
      </c>
      <c r="F59" s="35" t="str">
        <f aca="false">CEILING(D59/12,1)&amp;" confezioni da 12"</f>
        <v>32 confezioni da 12</v>
      </c>
    </row>
    <row r="60" customFormat="false" ht="15" hidden="false" customHeight="true" outlineLevel="0" collapsed="false">
      <c r="A60" s="3" t="s">
        <v>127</v>
      </c>
      <c r="B60" s="33" t="n">
        <f aca="false">B17</f>
        <v>62</v>
      </c>
      <c r="C60" s="33" t="n">
        <f aca="false">C17</f>
        <v>51</v>
      </c>
      <c r="D60" s="34" t="n">
        <f aca="false">B60+C60</f>
        <v>113</v>
      </c>
      <c r="E60" s="28" t="s">
        <v>126</v>
      </c>
      <c r="F60" s="35" t="str">
        <f aca="false">CEILING(D60/12,1)&amp;" confezioni da 12"</f>
        <v>10 confezioni da 12</v>
      </c>
    </row>
    <row r="61" customFormat="false" ht="15" hidden="false" customHeight="true" outlineLevel="0" collapsed="false">
      <c r="A61" s="3" t="s">
        <v>128</v>
      </c>
      <c r="B61" s="33" t="n">
        <f aca="false">B22</f>
        <v>29</v>
      </c>
      <c r="C61" s="33" t="n">
        <f aca="false">C22</f>
        <v>24</v>
      </c>
      <c r="D61" s="34" t="n">
        <f aca="false">B61+C61</f>
        <v>53</v>
      </c>
      <c r="E61" s="28" t="s">
        <v>129</v>
      </c>
      <c r="F61" s="35" t="str">
        <f aca="false">CEILING(D61/24,1)&amp;" cartoni da 24"</f>
        <v>3 cartoni da 24</v>
      </c>
    </row>
    <row r="62" customFormat="false" ht="15" hidden="false" customHeight="true" outlineLevel="0" collapsed="false">
      <c r="A62" s="3" t="s">
        <v>130</v>
      </c>
      <c r="B62" s="33" t="n">
        <f aca="false">B23</f>
        <v>48</v>
      </c>
      <c r="C62" s="33" t="n">
        <f aca="false">C23</f>
        <v>41</v>
      </c>
      <c r="D62" s="34" t="n">
        <f aca="false">B62+C62</f>
        <v>89</v>
      </c>
      <c r="E62" s="28" t="s">
        <v>129</v>
      </c>
      <c r="F62" s="35" t="str">
        <f aca="false">CEILING(D62/24,1)&amp;" cartoni da 24"</f>
        <v>4 cartoni da 24</v>
      </c>
    </row>
    <row r="63" customFormat="false" ht="15" hidden="false" customHeight="true" outlineLevel="0" collapsed="false">
      <c r="A63" s="3" t="s">
        <v>131</v>
      </c>
      <c r="B63" s="36" t="n">
        <f aca="false">(B29+B30)*Parametri!$B$29/1000</f>
        <v>3.795</v>
      </c>
      <c r="C63" s="36" t="n">
        <f aca="false">(C29+C30)*Parametri!$B$29/1000</f>
        <v>2.875</v>
      </c>
      <c r="D63" s="37" t="n">
        <f aca="false">B63+C63</f>
        <v>6.67</v>
      </c>
      <c r="E63" s="28" t="s">
        <v>104</v>
      </c>
      <c r="F63" s="35" t="str">
        <f aca="false">CEILING(D63/2,1)&amp;" sacchi da 2 kg"</f>
        <v>4 sacchi da 2 kg</v>
      </c>
    </row>
    <row r="64" customFormat="false" ht="15" hidden="false" customHeight="true" outlineLevel="0" collapsed="false">
      <c r="A64" s="3" t="s">
        <v>132</v>
      </c>
      <c r="B64" s="33" t="n">
        <f aca="false">(B7+B8+B9+B10+B11+B12+B13)*Parametri!$B$74+B15*Parametri!$B$13+B14*Parametri!$B$80+B31*Parametri!$B$58+B32*Parametri!$B$67</f>
        <v>871</v>
      </c>
      <c r="C64" s="33" t="n">
        <f aca="false">(C7+C8+C9+C10+C11+C12+C13)*Parametri!$B$74+C15*Parametri!$B$13+C14*Parametri!$B$80+C31*Parametri!$B$58+C32*Parametri!$B$67</f>
        <v>711</v>
      </c>
      <c r="D64" s="34" t="n">
        <f aca="false">B64+C64</f>
        <v>1582</v>
      </c>
      <c r="E64" s="28" t="s">
        <v>100</v>
      </c>
      <c r="F64" s="35" t="str">
        <f aca="false">CEILING(D64/1000,1)&amp;" cartoni da 1000"</f>
        <v>2 cartoni da 1000</v>
      </c>
    </row>
    <row r="65" customFormat="false" ht="15" hidden="false" customHeight="true" outlineLevel="0" collapsed="false">
      <c r="A65" s="3" t="s">
        <v>133</v>
      </c>
      <c r="B65" s="33" t="n">
        <f aca="false">(B7+B8+B9+B10+B11+B12+B13)*Parametri!$B$75+B15*Parametri!$B$14+B14*Parametri!$B$81+B31*Parametri!$B$59+B32*Parametri!$B$68</f>
        <v>871</v>
      </c>
      <c r="C65" s="33" t="n">
        <f aca="false">(C7+C8+C9+C10+C11+C12+C13)*Parametri!$B$75+C15*Parametri!$B$14+C14*Parametri!$B$81+C31*Parametri!$B$59+C32*Parametri!$B$68</f>
        <v>711</v>
      </c>
      <c r="D65" s="34" t="n">
        <f aca="false">B65+C65</f>
        <v>1582</v>
      </c>
      <c r="E65" s="28" t="s">
        <v>100</v>
      </c>
      <c r="F65" s="35" t="str">
        <f aca="false">CEILING(D65/1680,1)&amp;" cartoni da 1680"</f>
        <v>1 cartoni da 1680</v>
      </c>
    </row>
    <row r="66" customFormat="false" ht="15" hidden="false" customHeight="true" outlineLevel="0" collapsed="false">
      <c r="A66" s="3" t="s">
        <v>134</v>
      </c>
      <c r="B66" s="33" t="n">
        <f aca="false">B18+B24+B26+B28</f>
        <v>186</v>
      </c>
      <c r="C66" s="33" t="n">
        <f aca="false">C18+C24+C26+C28</f>
        <v>152</v>
      </c>
      <c r="D66" s="34" t="n">
        <f aca="false">B66+C66</f>
        <v>338</v>
      </c>
      <c r="E66" s="28" t="s">
        <v>100</v>
      </c>
      <c r="F66" s="35" t="str">
        <f aca="false">CEILING(D66/50,1)&amp;" file da 50"</f>
        <v>7 file da 50</v>
      </c>
    </row>
    <row r="67" customFormat="false" ht="15" hidden="false" customHeight="true" outlineLevel="0" collapsed="false">
      <c r="A67" s="3" t="s">
        <v>135</v>
      </c>
      <c r="B67" s="33" t="n">
        <f aca="false">B22+B23+B20+B21+B29+B30</f>
        <v>110</v>
      </c>
      <c r="C67" s="33" t="n">
        <f aca="false">C22+C23+C20+C21+C29+C30</f>
        <v>90</v>
      </c>
      <c r="D67" s="34" t="n">
        <f aca="false">B67+C67</f>
        <v>200</v>
      </c>
      <c r="E67" s="28" t="s">
        <v>100</v>
      </c>
      <c r="F67" s="35" t="str">
        <f aca="false">CEILING(D67/50,1)&amp;" file da 50"</f>
        <v>4 file da 50</v>
      </c>
    </row>
    <row r="68" customFormat="false" ht="15" hidden="false" customHeight="true" outlineLevel="0" collapsed="false">
      <c r="A68" s="3" t="s">
        <v>136</v>
      </c>
      <c r="B68" s="33" t="n">
        <f aca="false">B19+B25+B27</f>
        <v>314</v>
      </c>
      <c r="C68" s="33" t="n">
        <f aca="false">C19+C25+C27</f>
        <v>269</v>
      </c>
      <c r="D68" s="34" t="n">
        <f aca="false">B68+C68</f>
        <v>583</v>
      </c>
      <c r="E68" s="28" t="s">
        <v>100</v>
      </c>
      <c r="F68" s="35" t="str">
        <f aca="false">CEILING(D68/50,1)&amp;" file da 50"</f>
        <v>12 file da 50</v>
      </c>
    </row>
    <row r="69" customFormat="false" ht="15" hidden="false" customHeight="true" outlineLevel="0" collapsed="false">
      <c r="A69" s="3" t="s">
        <v>137</v>
      </c>
      <c r="B69" s="36" t="n">
        <f aca="false">(B51+B52+B53+B54)/'Vendite 2025'!$J$23*Parametri!$B$31</f>
        <v>3.07094594594595</v>
      </c>
      <c r="C69" s="36" t="n">
        <f aca="false">(C51+C52+C53+C54)/'Vendite 2025'!$J$23*Parametri!$B$31</f>
        <v>2.59674447174447</v>
      </c>
      <c r="D69" s="37" t="n">
        <f aca="false">B69+C69</f>
        <v>5.66769041769042</v>
      </c>
      <c r="E69" s="28" t="s">
        <v>138</v>
      </c>
      <c r="F69" s="35" t="str">
        <f aca="false">CEILING(D69,1)&amp;" bombole da 5 kg"</f>
        <v>6 bombole da 5 kg</v>
      </c>
    </row>
    <row r="71" customFormat="false" ht="15" hidden="false" customHeight="true" outlineLevel="0" collapsed="false">
      <c r="A71" s="1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8" t="s">
        <v>140</v>
      </c>
    </row>
    <row r="2" customFormat="false" ht="15" hidden="false" customHeight="false" outlineLevel="0" collapsed="false">
      <c r="A2" s="39"/>
    </row>
    <row r="3" customFormat="false" ht="15" hidden="false" customHeight="false" outlineLevel="0" collapsed="false">
      <c r="A3" s="40" t="s">
        <v>141</v>
      </c>
    </row>
    <row r="4" customFormat="false" ht="15" hidden="false" customHeight="false" outlineLevel="0" collapsed="false">
      <c r="A4" s="39" t="s">
        <v>142</v>
      </c>
    </row>
    <row r="5" customFormat="false" ht="15" hidden="false" customHeight="false" outlineLevel="0" collapsed="false">
      <c r="A5" s="39" t="s">
        <v>143</v>
      </c>
    </row>
    <row r="6" customFormat="false" ht="15" hidden="false" customHeight="false" outlineLevel="0" collapsed="false">
      <c r="A6" s="39" t="s">
        <v>144</v>
      </c>
    </row>
    <row r="7" customFormat="false" ht="15" hidden="false" customHeight="false" outlineLevel="0" collapsed="false">
      <c r="A7" s="39" t="s">
        <v>145</v>
      </c>
    </row>
    <row r="8" customFormat="false" ht="15" hidden="false" customHeight="false" outlineLevel="0" collapsed="false">
      <c r="A8" s="39"/>
    </row>
    <row r="9" customFormat="false" ht="15" hidden="false" customHeight="false" outlineLevel="0" collapsed="false">
      <c r="A9" s="40" t="s">
        <v>146</v>
      </c>
    </row>
    <row r="10" customFormat="false" ht="15" hidden="false" customHeight="false" outlineLevel="0" collapsed="false">
      <c r="A10" s="39" t="s">
        <v>147</v>
      </c>
    </row>
    <row r="11" customFormat="false" ht="15" hidden="false" customHeight="false" outlineLevel="0" collapsed="false">
      <c r="A11" s="39" t="s">
        <v>148</v>
      </c>
    </row>
    <row r="12" customFormat="false" ht="15" hidden="false" customHeight="false" outlineLevel="0" collapsed="false">
      <c r="A12" s="39" t="s">
        <v>149</v>
      </c>
    </row>
    <row r="13" customFormat="false" ht="15" hidden="false" customHeight="false" outlineLevel="0" collapsed="false">
      <c r="A13" s="39" t="s">
        <v>150</v>
      </c>
    </row>
    <row r="14" customFormat="false" ht="15" hidden="false" customHeight="false" outlineLevel="0" collapsed="false">
      <c r="A14" s="39"/>
    </row>
    <row r="15" customFormat="false" ht="15" hidden="false" customHeight="false" outlineLevel="0" collapsed="false">
      <c r="A15" s="40" t="s">
        <v>151</v>
      </c>
    </row>
    <row r="16" customFormat="false" ht="15" hidden="false" customHeight="false" outlineLevel="0" collapsed="false">
      <c r="A16" s="39" t="s">
        <v>152</v>
      </c>
    </row>
    <row r="17" customFormat="false" ht="15" hidden="false" customHeight="false" outlineLevel="0" collapsed="false">
      <c r="A17" s="39" t="s">
        <v>153</v>
      </c>
    </row>
    <row r="18" customFormat="false" ht="15" hidden="false" customHeight="false" outlineLevel="0" collapsed="false">
      <c r="A18" s="39" t="s">
        <v>154</v>
      </c>
    </row>
    <row r="19" customFormat="false" ht="15" hidden="false" customHeight="false" outlineLevel="0" collapsed="false">
      <c r="A19" s="39" t="s">
        <v>155</v>
      </c>
    </row>
    <row r="20" customFormat="false" ht="15" hidden="false" customHeight="false" outlineLevel="0" collapsed="false">
      <c r="A20" s="39" t="s">
        <v>156</v>
      </c>
    </row>
    <row r="21" customFormat="false" ht="15" hidden="false" customHeight="false" outlineLevel="0" collapsed="false">
      <c r="A21" s="39"/>
    </row>
    <row r="22" customFormat="false" ht="15" hidden="false" customHeight="false" outlineLevel="0" collapsed="false">
      <c r="A22" s="39" t="s">
        <v>157</v>
      </c>
    </row>
    <row r="23" customFormat="false" ht="15" hidden="false" customHeight="false" outlineLevel="0" collapsed="false">
      <c r="A23" s="39" t="s">
        <v>158</v>
      </c>
    </row>
    <row r="24" customFormat="false" ht="15" hidden="false" customHeight="false" outlineLevel="0" collapsed="false">
      <c r="A24" s="39"/>
    </row>
    <row r="25" customFormat="false" ht="15" hidden="false" customHeight="false" outlineLevel="0" collapsed="false">
      <c r="A25" s="40" t="s">
        <v>159</v>
      </c>
    </row>
    <row r="26" customFormat="false" ht="15" hidden="false" customHeight="false" outlineLevel="0" collapsed="false">
      <c r="A26" s="41" t="s">
        <v>160</v>
      </c>
    </row>
    <row r="27" customFormat="false" ht="15" hidden="false" customHeight="false" outlineLevel="0" collapsed="false">
      <c r="A27" s="41" t="s">
        <v>161</v>
      </c>
    </row>
    <row r="28" customFormat="false" ht="15" hidden="false" customHeight="false" outlineLevel="0" collapsed="false">
      <c r="A28" s="41" t="s">
        <v>162</v>
      </c>
    </row>
    <row r="29" customFormat="false" ht="15" hidden="false" customHeight="false" outlineLevel="0" collapsed="false">
      <c r="A29" s="41" t="s">
        <v>163</v>
      </c>
    </row>
    <row r="30" customFormat="false" ht="15" hidden="false" customHeight="false" outlineLevel="0" collapsed="false">
      <c r="A30" s="41" t="s">
        <v>164</v>
      </c>
    </row>
    <row r="31" customFormat="false" ht="15" hidden="false" customHeight="false" outlineLevel="0" collapsed="false">
      <c r="A31" s="42" t="str">
        <f aca="false">"&lt;title&gt;"&amp;'Testi Menu'!$B$4&amp;"&lt;/title&gt;"</f>
        <v>&lt;title&gt;Menu · Festa di Sant'Agostino 2026&lt;/title&gt;</v>
      </c>
    </row>
    <row r="32" customFormat="false" ht="15" hidden="false" customHeight="false" outlineLevel="0" collapsed="false">
      <c r="A32" s="41" t="s">
        <v>165</v>
      </c>
    </row>
    <row r="33" customFormat="false" ht="15" hidden="false" customHeight="false" outlineLevel="0" collapsed="false">
      <c r="A33" s="41" t="s">
        <v>166</v>
      </c>
    </row>
    <row r="34" customFormat="false" ht="15" hidden="false" customHeight="false" outlineLevel="0" collapsed="false">
      <c r="A34" s="41" t="s">
        <v>167</v>
      </c>
    </row>
    <row r="35" customFormat="false" ht="15" hidden="false" customHeight="false" outlineLevel="0" collapsed="false">
      <c r="A35" s="41" t="s">
        <v>168</v>
      </c>
    </row>
    <row r="36" customFormat="false" ht="15" hidden="false" customHeight="false" outlineLevel="0" collapsed="false">
      <c r="A36" s="41" t="s">
        <v>169</v>
      </c>
    </row>
    <row r="37" customFormat="false" ht="15" hidden="false" customHeight="false" outlineLevel="0" collapsed="false">
      <c r="A37" s="41" t="s">
        <v>170</v>
      </c>
    </row>
    <row r="38" customFormat="false" ht="15" hidden="false" customHeight="false" outlineLevel="0" collapsed="false">
      <c r="A38" s="41" t="s">
        <v>171</v>
      </c>
    </row>
    <row r="39" customFormat="false" ht="15" hidden="false" customHeight="false" outlineLevel="0" collapsed="false">
      <c r="A39" s="41" t="s">
        <v>172</v>
      </c>
    </row>
    <row r="40" customFormat="false" ht="15" hidden="false" customHeight="false" outlineLevel="0" collapsed="false">
      <c r="A40" s="41" t="s">
        <v>173</v>
      </c>
    </row>
    <row r="41" customFormat="false" ht="15" hidden="false" customHeight="false" outlineLevel="0" collapsed="false">
      <c r="A41" s="41" t="s">
        <v>174</v>
      </c>
    </row>
    <row r="42" customFormat="false" ht="15" hidden="false" customHeight="false" outlineLevel="0" collapsed="false">
      <c r="A42" s="41" t="s">
        <v>175</v>
      </c>
    </row>
    <row r="43" customFormat="false" ht="15" hidden="false" customHeight="false" outlineLevel="0" collapsed="false">
      <c r="A43" s="41" t="s">
        <v>176</v>
      </c>
    </row>
    <row r="44" customFormat="false" ht="15" hidden="false" customHeight="false" outlineLevel="0" collapsed="false">
      <c r="A44" s="41" t="s">
        <v>177</v>
      </c>
    </row>
    <row r="45" customFormat="false" ht="15" hidden="false" customHeight="false" outlineLevel="0" collapsed="false">
      <c r="A45" s="41" t="s">
        <v>178</v>
      </c>
    </row>
    <row r="46" customFormat="false" ht="15" hidden="false" customHeight="false" outlineLevel="0" collapsed="false">
      <c r="A46" s="41" t="s">
        <v>179</v>
      </c>
    </row>
    <row r="47" customFormat="false" ht="15" hidden="false" customHeight="false" outlineLevel="0" collapsed="false">
      <c r="A47" s="41" t="s">
        <v>180</v>
      </c>
    </row>
    <row r="48" customFormat="false" ht="15" hidden="false" customHeight="false" outlineLevel="0" collapsed="false">
      <c r="A48" s="41"/>
    </row>
    <row r="49" customFormat="false" ht="15" hidden="false" customHeight="false" outlineLevel="0" collapsed="false">
      <c r="A49" s="41" t="s">
        <v>181</v>
      </c>
    </row>
    <row r="50" customFormat="false" ht="15" hidden="false" customHeight="false" outlineLevel="0" collapsed="false">
      <c r="A50" s="41" t="s">
        <v>182</v>
      </c>
    </row>
    <row r="51" customFormat="false" ht="15" hidden="false" customHeight="false" outlineLevel="0" collapsed="false">
      <c r="A51" s="41" t="s">
        <v>183</v>
      </c>
    </row>
    <row r="52" customFormat="false" ht="15" hidden="false" customHeight="false" outlineLevel="0" collapsed="false">
      <c r="A52" s="41" t="s">
        <v>184</v>
      </c>
    </row>
    <row r="53" customFormat="false" ht="15" hidden="false" customHeight="false" outlineLevel="0" collapsed="false">
      <c r="A53" s="41" t="s">
        <v>185</v>
      </c>
    </row>
    <row r="54" customFormat="false" ht="15" hidden="false" customHeight="false" outlineLevel="0" collapsed="false">
      <c r="A54" s="41" t="s">
        <v>180</v>
      </c>
    </row>
    <row r="55" customFormat="false" ht="15" hidden="false" customHeight="false" outlineLevel="0" collapsed="false">
      <c r="A55" s="41"/>
    </row>
    <row r="56" customFormat="false" ht="15" hidden="false" customHeight="false" outlineLevel="0" collapsed="false">
      <c r="A56" s="41" t="s">
        <v>186</v>
      </c>
    </row>
    <row r="57" customFormat="false" ht="15" hidden="false" customHeight="false" outlineLevel="0" collapsed="false">
      <c r="A57" s="41" t="s">
        <v>187</v>
      </c>
    </row>
    <row r="58" customFormat="false" ht="15" hidden="false" customHeight="false" outlineLevel="0" collapsed="false">
      <c r="A58" s="41" t="s">
        <v>188</v>
      </c>
    </row>
    <row r="59" customFormat="false" ht="15" hidden="false" customHeight="false" outlineLevel="0" collapsed="false">
      <c r="A59" s="41" t="s">
        <v>189</v>
      </c>
    </row>
    <row r="60" customFormat="false" ht="15" hidden="false" customHeight="false" outlineLevel="0" collapsed="false">
      <c r="A60" s="41" t="s">
        <v>190</v>
      </c>
    </row>
    <row r="61" customFormat="false" ht="15" hidden="false" customHeight="false" outlineLevel="0" collapsed="false">
      <c r="A61" s="41" t="s">
        <v>191</v>
      </c>
    </row>
    <row r="62" customFormat="false" ht="15" hidden="false" customHeight="false" outlineLevel="0" collapsed="false">
      <c r="A62" s="41" t="s">
        <v>192</v>
      </c>
    </row>
    <row r="63" customFormat="false" ht="15" hidden="false" customHeight="false" outlineLevel="0" collapsed="false">
      <c r="A63" s="41" t="s">
        <v>193</v>
      </c>
    </row>
    <row r="64" customFormat="false" ht="15" hidden="false" customHeight="false" outlineLevel="0" collapsed="false">
      <c r="A64" s="41" t="s">
        <v>180</v>
      </c>
    </row>
    <row r="65" customFormat="false" ht="15" hidden="false" customHeight="false" outlineLevel="0" collapsed="false">
      <c r="A65" s="41"/>
    </row>
    <row r="66" customFormat="false" ht="15" hidden="false" customHeight="false" outlineLevel="0" collapsed="false">
      <c r="A66" s="41" t="s">
        <v>194</v>
      </c>
    </row>
    <row r="67" customFormat="false" ht="15" hidden="false" customHeight="false" outlineLevel="0" collapsed="false">
      <c r="A67" s="41"/>
    </row>
    <row r="68" customFormat="false" ht="15" hidden="false" customHeight="false" outlineLevel="0" collapsed="false">
      <c r="A68" s="41" t="s">
        <v>195</v>
      </c>
    </row>
    <row r="69" customFormat="false" ht="15" hidden="false" customHeight="false" outlineLevel="0" collapsed="false">
      <c r="A69" s="41" t="s">
        <v>196</v>
      </c>
    </row>
    <row r="70" customFormat="false" ht="15" hidden="false" customHeight="false" outlineLevel="0" collapsed="false">
      <c r="A70" s="41" t="s">
        <v>197</v>
      </c>
    </row>
    <row r="71" customFormat="false" ht="15" hidden="false" customHeight="false" outlineLevel="0" collapsed="false">
      <c r="A71" s="41" t="s">
        <v>198</v>
      </c>
    </row>
    <row r="72" customFormat="false" ht="15" hidden="false" customHeight="false" outlineLevel="0" collapsed="false">
      <c r="A72" s="41" t="s">
        <v>199</v>
      </c>
    </row>
    <row r="73" customFormat="false" ht="15" hidden="false" customHeight="false" outlineLevel="0" collapsed="false">
      <c r="A73" s="41" t="s">
        <v>200</v>
      </c>
    </row>
    <row r="74" customFormat="false" ht="15" hidden="false" customHeight="false" outlineLevel="0" collapsed="false">
      <c r="A74" s="41" t="s">
        <v>201</v>
      </c>
    </row>
    <row r="75" customFormat="false" ht="15" hidden="false" customHeight="false" outlineLevel="0" collapsed="false">
      <c r="A75" s="41" t="s">
        <v>202</v>
      </c>
    </row>
    <row r="76" customFormat="false" ht="15" hidden="false" customHeight="false" outlineLevel="0" collapsed="false">
      <c r="A76" s="41" t="s">
        <v>180</v>
      </c>
    </row>
    <row r="77" customFormat="false" ht="15" hidden="false" customHeight="false" outlineLevel="0" collapsed="false">
      <c r="A77" s="41" t="s">
        <v>203</v>
      </c>
    </row>
    <row r="78" customFormat="false" ht="15" hidden="false" customHeight="false" outlineLevel="0" collapsed="false">
      <c r="A78" s="41" t="s">
        <v>204</v>
      </c>
    </row>
    <row r="79" customFormat="false" ht="15" hidden="false" customHeight="false" outlineLevel="0" collapsed="false">
      <c r="A79" s="41" t="s">
        <v>205</v>
      </c>
    </row>
    <row r="80" customFormat="false" ht="15" hidden="false" customHeight="false" outlineLevel="0" collapsed="false">
      <c r="A80" s="41" t="s">
        <v>206</v>
      </c>
    </row>
    <row r="81" customFormat="false" ht="15" hidden="false" customHeight="false" outlineLevel="0" collapsed="false">
      <c r="A81" s="41" t="s">
        <v>180</v>
      </c>
    </row>
    <row r="82" customFormat="false" ht="15" hidden="false" customHeight="false" outlineLevel="0" collapsed="false">
      <c r="A82" s="41" t="s">
        <v>207</v>
      </c>
    </row>
    <row r="83" customFormat="false" ht="15" hidden="false" customHeight="false" outlineLevel="0" collapsed="false">
      <c r="A83" s="41" t="s">
        <v>208</v>
      </c>
    </row>
    <row r="84" customFormat="false" ht="15" hidden="false" customHeight="false" outlineLevel="0" collapsed="false">
      <c r="A84" s="41" t="s">
        <v>209</v>
      </c>
    </row>
    <row r="85" customFormat="false" ht="15" hidden="false" customHeight="false" outlineLevel="0" collapsed="false">
      <c r="A85" s="41" t="s">
        <v>180</v>
      </c>
    </row>
    <row r="86" customFormat="false" ht="15" hidden="false" customHeight="false" outlineLevel="0" collapsed="false">
      <c r="A86" s="41" t="s">
        <v>210</v>
      </c>
    </row>
    <row r="87" customFormat="false" ht="15" hidden="false" customHeight="false" outlineLevel="0" collapsed="false">
      <c r="A87" s="41" t="s">
        <v>211</v>
      </c>
    </row>
    <row r="88" customFormat="false" ht="15" hidden="false" customHeight="false" outlineLevel="0" collapsed="false">
      <c r="A88" s="41" t="s">
        <v>187</v>
      </c>
    </row>
    <row r="89" customFormat="false" ht="15" hidden="false" customHeight="false" outlineLevel="0" collapsed="false">
      <c r="A89" s="41" t="s">
        <v>212</v>
      </c>
    </row>
    <row r="90" customFormat="false" ht="15" hidden="false" customHeight="false" outlineLevel="0" collapsed="false">
      <c r="A90" s="41" t="s">
        <v>213</v>
      </c>
    </row>
    <row r="91" customFormat="false" ht="15" hidden="false" customHeight="false" outlineLevel="0" collapsed="false">
      <c r="A91" s="41" t="s">
        <v>214</v>
      </c>
    </row>
    <row r="92" customFormat="false" ht="15" hidden="false" customHeight="false" outlineLevel="0" collapsed="false">
      <c r="A92" s="41" t="s">
        <v>215</v>
      </c>
    </row>
    <row r="93" customFormat="false" ht="15" hidden="false" customHeight="false" outlineLevel="0" collapsed="false">
      <c r="A93" s="41" t="s">
        <v>216</v>
      </c>
    </row>
    <row r="94" customFormat="false" ht="15" hidden="false" customHeight="false" outlineLevel="0" collapsed="false">
      <c r="A94" s="41" t="s">
        <v>180</v>
      </c>
    </row>
    <row r="95" customFormat="false" ht="15" hidden="false" customHeight="false" outlineLevel="0" collapsed="false">
      <c r="A95" s="41" t="s">
        <v>217</v>
      </c>
    </row>
    <row r="96" customFormat="false" ht="15" hidden="false" customHeight="false" outlineLevel="0" collapsed="false">
      <c r="A96" s="41" t="s">
        <v>218</v>
      </c>
    </row>
    <row r="97" customFormat="false" ht="15" hidden="false" customHeight="false" outlineLevel="0" collapsed="false">
      <c r="A97" s="41" t="s">
        <v>219</v>
      </c>
    </row>
    <row r="98" customFormat="false" ht="15" hidden="false" customHeight="false" outlineLevel="0" collapsed="false">
      <c r="A98" s="41" t="s">
        <v>220</v>
      </c>
    </row>
    <row r="99" customFormat="false" ht="15" hidden="false" customHeight="false" outlineLevel="0" collapsed="false">
      <c r="A99" s="41" t="s">
        <v>180</v>
      </c>
    </row>
    <row r="100" customFormat="false" ht="15" hidden="false" customHeight="false" outlineLevel="0" collapsed="false">
      <c r="A100" s="41" t="s">
        <v>221</v>
      </c>
    </row>
    <row r="101" customFormat="false" ht="15" hidden="false" customHeight="false" outlineLevel="0" collapsed="false">
      <c r="A101" s="41" t="s">
        <v>222</v>
      </c>
    </row>
    <row r="102" customFormat="false" ht="15" hidden="false" customHeight="false" outlineLevel="0" collapsed="false">
      <c r="A102" s="41" t="s">
        <v>223</v>
      </c>
    </row>
    <row r="103" customFormat="false" ht="15" hidden="false" customHeight="false" outlineLevel="0" collapsed="false">
      <c r="A103" s="41" t="s">
        <v>224</v>
      </c>
    </row>
    <row r="104" customFormat="false" ht="15" hidden="false" customHeight="false" outlineLevel="0" collapsed="false">
      <c r="A104" s="41" t="s">
        <v>180</v>
      </c>
    </row>
    <row r="105" customFormat="false" ht="15" hidden="false" customHeight="false" outlineLevel="0" collapsed="false">
      <c r="A105" s="41" t="s">
        <v>225</v>
      </c>
    </row>
    <row r="106" customFormat="false" ht="15" hidden="false" customHeight="false" outlineLevel="0" collapsed="false">
      <c r="A106" s="41" t="s">
        <v>226</v>
      </c>
    </row>
    <row r="107" customFormat="false" ht="15" hidden="false" customHeight="false" outlineLevel="0" collapsed="false">
      <c r="A107" s="41" t="s">
        <v>227</v>
      </c>
    </row>
    <row r="108" customFormat="false" ht="15" hidden="false" customHeight="false" outlineLevel="0" collapsed="false">
      <c r="A108" s="41" t="s">
        <v>228</v>
      </c>
    </row>
    <row r="109" customFormat="false" ht="15" hidden="false" customHeight="false" outlineLevel="0" collapsed="false">
      <c r="A109" s="41" t="s">
        <v>229</v>
      </c>
    </row>
    <row r="110" customFormat="false" ht="15" hidden="false" customHeight="false" outlineLevel="0" collapsed="false">
      <c r="A110" s="41" t="s">
        <v>180</v>
      </c>
    </row>
    <row r="111" customFormat="false" ht="15" hidden="false" customHeight="false" outlineLevel="0" collapsed="false">
      <c r="A111" s="41" t="s">
        <v>230</v>
      </c>
    </row>
    <row r="112" customFormat="false" ht="15" hidden="false" customHeight="false" outlineLevel="0" collapsed="false">
      <c r="A112" s="41" t="s">
        <v>231</v>
      </c>
    </row>
    <row r="113" customFormat="false" ht="15" hidden="false" customHeight="false" outlineLevel="0" collapsed="false">
      <c r="A113" s="41" t="s">
        <v>232</v>
      </c>
    </row>
    <row r="114" customFormat="false" ht="15" hidden="false" customHeight="false" outlineLevel="0" collapsed="false">
      <c r="A114" s="41" t="s">
        <v>180</v>
      </c>
    </row>
    <row r="115" customFormat="false" ht="15" hidden="false" customHeight="false" outlineLevel="0" collapsed="false">
      <c r="A115" s="41"/>
    </row>
    <row r="116" customFormat="false" ht="15" hidden="false" customHeight="false" outlineLevel="0" collapsed="false">
      <c r="A116" s="41" t="s">
        <v>233</v>
      </c>
    </row>
    <row r="117" customFormat="false" ht="15" hidden="false" customHeight="false" outlineLevel="0" collapsed="false">
      <c r="A117" s="41" t="s">
        <v>234</v>
      </c>
    </row>
    <row r="118" customFormat="false" ht="15" hidden="false" customHeight="false" outlineLevel="0" collapsed="false">
      <c r="A118" s="41" t="s">
        <v>235</v>
      </c>
    </row>
    <row r="119" customFormat="false" ht="15" hidden="false" customHeight="false" outlineLevel="0" collapsed="false">
      <c r="A119" s="41" t="s">
        <v>188</v>
      </c>
    </row>
    <row r="120" customFormat="false" ht="15" hidden="false" customHeight="false" outlineLevel="0" collapsed="false">
      <c r="A120" s="41" t="s">
        <v>236</v>
      </c>
    </row>
    <row r="121" customFormat="false" ht="15" hidden="false" customHeight="false" outlineLevel="0" collapsed="false">
      <c r="A121" s="41" t="s">
        <v>237</v>
      </c>
    </row>
    <row r="122" customFormat="false" ht="15" hidden="false" customHeight="false" outlineLevel="0" collapsed="false">
      <c r="A122" s="41" t="s">
        <v>180</v>
      </c>
    </row>
    <row r="123" customFormat="false" ht="15" hidden="false" customHeight="false" outlineLevel="0" collapsed="false">
      <c r="A123" s="41" t="s">
        <v>238</v>
      </c>
    </row>
    <row r="124" customFormat="false" ht="15" hidden="false" customHeight="false" outlineLevel="0" collapsed="false">
      <c r="A124" s="41" t="s">
        <v>239</v>
      </c>
    </row>
    <row r="125" customFormat="false" ht="15" hidden="false" customHeight="false" outlineLevel="0" collapsed="false">
      <c r="A125" s="41" t="s">
        <v>240</v>
      </c>
    </row>
    <row r="126" customFormat="false" ht="15" hidden="false" customHeight="false" outlineLevel="0" collapsed="false">
      <c r="A126" s="41" t="s">
        <v>180</v>
      </c>
    </row>
    <row r="127" customFormat="false" ht="15" hidden="false" customHeight="false" outlineLevel="0" collapsed="false">
      <c r="A127" s="41" t="s">
        <v>241</v>
      </c>
    </row>
    <row r="128" customFormat="false" ht="15" hidden="false" customHeight="false" outlineLevel="0" collapsed="false">
      <c r="A128" s="41" t="s">
        <v>242</v>
      </c>
    </row>
    <row r="129" customFormat="false" ht="15" hidden="false" customHeight="false" outlineLevel="0" collapsed="false">
      <c r="A129" s="41" t="s">
        <v>243</v>
      </c>
    </row>
    <row r="130" customFormat="false" ht="15" hidden="false" customHeight="false" outlineLevel="0" collapsed="false">
      <c r="A130" s="41" t="s">
        <v>244</v>
      </c>
    </row>
    <row r="131" customFormat="false" ht="15" hidden="false" customHeight="false" outlineLevel="0" collapsed="false">
      <c r="A131" s="41" t="s">
        <v>245</v>
      </c>
    </row>
    <row r="132" customFormat="false" ht="15" hidden="false" customHeight="false" outlineLevel="0" collapsed="false">
      <c r="A132" s="41" t="s">
        <v>246</v>
      </c>
    </row>
    <row r="133" customFormat="false" ht="15" hidden="false" customHeight="false" outlineLevel="0" collapsed="false">
      <c r="A133" s="41" t="s">
        <v>247</v>
      </c>
    </row>
    <row r="134" customFormat="false" ht="15" hidden="false" customHeight="false" outlineLevel="0" collapsed="false">
      <c r="A134" s="41" t="s">
        <v>248</v>
      </c>
    </row>
    <row r="135" customFormat="false" ht="15" hidden="false" customHeight="false" outlineLevel="0" collapsed="false">
      <c r="A135" s="41" t="s">
        <v>249</v>
      </c>
    </row>
    <row r="136" customFormat="false" ht="15" hidden="false" customHeight="false" outlineLevel="0" collapsed="false">
      <c r="A136" s="41" t="s">
        <v>250</v>
      </c>
    </row>
    <row r="137" customFormat="false" ht="15" hidden="false" customHeight="false" outlineLevel="0" collapsed="false">
      <c r="A137" s="41" t="s">
        <v>180</v>
      </c>
    </row>
    <row r="138" customFormat="false" ht="15" hidden="false" customHeight="false" outlineLevel="0" collapsed="false">
      <c r="A138" s="41" t="s">
        <v>251</v>
      </c>
    </row>
    <row r="139" customFormat="false" ht="15" hidden="false" customHeight="false" outlineLevel="0" collapsed="false">
      <c r="A139" s="41" t="s">
        <v>252</v>
      </c>
    </row>
    <row r="140" customFormat="false" ht="15" hidden="false" customHeight="false" outlineLevel="0" collapsed="false">
      <c r="A140" s="41"/>
    </row>
    <row r="141" customFormat="false" ht="15" hidden="false" customHeight="false" outlineLevel="0" collapsed="false">
      <c r="A141" s="41" t="s">
        <v>253</v>
      </c>
    </row>
    <row r="142" customFormat="false" ht="15" hidden="false" customHeight="false" outlineLevel="0" collapsed="false">
      <c r="A142" s="41" t="s">
        <v>254</v>
      </c>
    </row>
    <row r="143" customFormat="false" ht="15" hidden="false" customHeight="false" outlineLevel="0" collapsed="false">
      <c r="A143" s="41" t="s">
        <v>255</v>
      </c>
    </row>
    <row r="144" customFormat="false" ht="15" hidden="false" customHeight="false" outlineLevel="0" collapsed="false">
      <c r="A144" s="41" t="s">
        <v>197</v>
      </c>
    </row>
    <row r="145" customFormat="false" ht="15" hidden="false" customHeight="false" outlineLevel="0" collapsed="false">
      <c r="A145" s="41" t="s">
        <v>198</v>
      </c>
    </row>
    <row r="146" customFormat="false" ht="15" hidden="false" customHeight="false" outlineLevel="0" collapsed="false">
      <c r="A146" s="41" t="s">
        <v>256</v>
      </c>
    </row>
    <row r="147" customFormat="false" ht="15" hidden="false" customHeight="false" outlineLevel="0" collapsed="false">
      <c r="A147" s="41" t="s">
        <v>257</v>
      </c>
    </row>
    <row r="148" customFormat="false" ht="15" hidden="false" customHeight="false" outlineLevel="0" collapsed="false">
      <c r="A148" s="41" t="s">
        <v>258</v>
      </c>
    </row>
    <row r="149" customFormat="false" ht="15" hidden="false" customHeight="false" outlineLevel="0" collapsed="false">
      <c r="A149" s="41" t="s">
        <v>201</v>
      </c>
    </row>
    <row r="150" customFormat="false" ht="15" hidden="false" customHeight="false" outlineLevel="0" collapsed="false">
      <c r="A150" s="41" t="s">
        <v>180</v>
      </c>
    </row>
    <row r="151" customFormat="false" ht="15" hidden="false" customHeight="false" outlineLevel="0" collapsed="false">
      <c r="A151" s="41" t="s">
        <v>259</v>
      </c>
    </row>
    <row r="152" customFormat="false" ht="15" hidden="false" customHeight="false" outlineLevel="0" collapsed="false">
      <c r="A152" s="41" t="s">
        <v>260</v>
      </c>
    </row>
    <row r="153" customFormat="false" ht="15" hidden="false" customHeight="false" outlineLevel="0" collapsed="false">
      <c r="A153" s="41" t="s">
        <v>204</v>
      </c>
    </row>
    <row r="154" customFormat="false" ht="15" hidden="false" customHeight="false" outlineLevel="0" collapsed="false">
      <c r="A154" s="41" t="s">
        <v>261</v>
      </c>
    </row>
    <row r="155" customFormat="false" ht="15" hidden="false" customHeight="false" outlineLevel="0" collapsed="false">
      <c r="A155" s="41" t="s">
        <v>262</v>
      </c>
    </row>
    <row r="156" customFormat="false" ht="15" hidden="false" customHeight="false" outlineLevel="0" collapsed="false">
      <c r="A156" s="41" t="s">
        <v>263</v>
      </c>
    </row>
    <row r="157" customFormat="false" ht="15" hidden="false" customHeight="false" outlineLevel="0" collapsed="false">
      <c r="A157" s="41" t="s">
        <v>264</v>
      </c>
    </row>
    <row r="158" customFormat="false" ht="15" hidden="false" customHeight="false" outlineLevel="0" collapsed="false">
      <c r="A158" s="41" t="s">
        <v>265</v>
      </c>
    </row>
    <row r="159" customFormat="false" ht="15" hidden="false" customHeight="false" outlineLevel="0" collapsed="false">
      <c r="A159" s="41" t="s">
        <v>180</v>
      </c>
    </row>
    <row r="160" customFormat="false" ht="15" hidden="false" customHeight="false" outlineLevel="0" collapsed="false">
      <c r="A160" s="41" t="s">
        <v>266</v>
      </c>
    </row>
    <row r="161" customFormat="false" ht="15" hidden="false" customHeight="false" outlineLevel="0" collapsed="false">
      <c r="A161" s="41" t="s">
        <v>211</v>
      </c>
    </row>
    <row r="162" customFormat="false" ht="15" hidden="false" customHeight="false" outlineLevel="0" collapsed="false">
      <c r="A162" s="41" t="s">
        <v>267</v>
      </c>
    </row>
    <row r="163" customFormat="false" ht="15" hidden="false" customHeight="false" outlineLevel="0" collapsed="false">
      <c r="A163" s="41" t="s">
        <v>268</v>
      </c>
    </row>
    <row r="164" customFormat="false" ht="15" hidden="false" customHeight="false" outlineLevel="0" collapsed="false">
      <c r="A164" s="41" t="s">
        <v>180</v>
      </c>
    </row>
    <row r="165" customFormat="false" ht="15" hidden="false" customHeight="false" outlineLevel="0" collapsed="false">
      <c r="A165" s="41" t="s">
        <v>269</v>
      </c>
    </row>
    <row r="166" customFormat="false" ht="15" hidden="false" customHeight="false" outlineLevel="0" collapsed="false">
      <c r="A166" s="41"/>
    </row>
    <row r="167" customFormat="false" ht="15" hidden="false" customHeight="false" outlineLevel="0" collapsed="false">
      <c r="A167" s="41" t="s">
        <v>270</v>
      </c>
    </row>
    <row r="168" customFormat="false" ht="15" hidden="false" customHeight="false" outlineLevel="0" collapsed="false">
      <c r="A168" s="41" t="s">
        <v>271</v>
      </c>
    </row>
    <row r="169" customFormat="false" ht="15" hidden="false" customHeight="false" outlineLevel="0" collapsed="false">
      <c r="A169" s="41" t="s">
        <v>272</v>
      </c>
    </row>
    <row r="170" customFormat="false" ht="15" hidden="false" customHeight="false" outlineLevel="0" collapsed="false">
      <c r="A170" s="41" t="s">
        <v>273</v>
      </c>
    </row>
    <row r="171" customFormat="false" ht="15" hidden="false" customHeight="false" outlineLevel="0" collapsed="false">
      <c r="A171" s="41" t="s">
        <v>236</v>
      </c>
    </row>
    <row r="172" customFormat="false" ht="15" hidden="false" customHeight="false" outlineLevel="0" collapsed="false">
      <c r="A172" s="41" t="s">
        <v>180</v>
      </c>
    </row>
    <row r="173" customFormat="false" ht="15" hidden="false" customHeight="false" outlineLevel="0" collapsed="false">
      <c r="A173" s="41" t="s">
        <v>274</v>
      </c>
    </row>
    <row r="174" customFormat="false" ht="15" hidden="false" customHeight="false" outlineLevel="0" collapsed="false">
      <c r="A174" s="41" t="s">
        <v>275</v>
      </c>
    </row>
    <row r="175" customFormat="false" ht="15" hidden="false" customHeight="false" outlineLevel="0" collapsed="false">
      <c r="A175" s="41" t="s">
        <v>276</v>
      </c>
    </row>
    <row r="176" customFormat="false" ht="15" hidden="false" customHeight="false" outlineLevel="0" collapsed="false">
      <c r="A176" s="41" t="s">
        <v>277</v>
      </c>
    </row>
    <row r="177" customFormat="false" ht="15" hidden="false" customHeight="false" outlineLevel="0" collapsed="false">
      <c r="A177" s="41" t="s">
        <v>278</v>
      </c>
    </row>
    <row r="178" customFormat="false" ht="15" hidden="false" customHeight="false" outlineLevel="0" collapsed="false">
      <c r="A178" s="41" t="s">
        <v>180</v>
      </c>
    </row>
    <row r="179" customFormat="false" ht="15" hidden="false" customHeight="false" outlineLevel="0" collapsed="false">
      <c r="A179" s="41" t="s">
        <v>279</v>
      </c>
    </row>
    <row r="180" customFormat="false" ht="15" hidden="false" customHeight="false" outlineLevel="0" collapsed="false">
      <c r="A180" s="41" t="s">
        <v>280</v>
      </c>
    </row>
    <row r="181" customFormat="false" ht="15" hidden="false" customHeight="false" outlineLevel="0" collapsed="false">
      <c r="A181" s="41" t="s">
        <v>281</v>
      </c>
    </row>
    <row r="182" customFormat="false" ht="15" hidden="false" customHeight="false" outlineLevel="0" collapsed="false">
      <c r="A182" s="41" t="s">
        <v>282</v>
      </c>
    </row>
    <row r="183" customFormat="false" ht="15" hidden="false" customHeight="false" outlineLevel="0" collapsed="false">
      <c r="A183" s="41" t="s">
        <v>283</v>
      </c>
    </row>
    <row r="184" customFormat="false" ht="15" hidden="false" customHeight="false" outlineLevel="0" collapsed="false">
      <c r="A184" s="41" t="s">
        <v>180</v>
      </c>
    </row>
    <row r="185" customFormat="false" ht="15" hidden="false" customHeight="false" outlineLevel="0" collapsed="false">
      <c r="A185" s="41" t="s">
        <v>284</v>
      </c>
    </row>
    <row r="186" customFormat="false" ht="15" hidden="false" customHeight="false" outlineLevel="0" collapsed="false">
      <c r="A186" s="41" t="s">
        <v>211</v>
      </c>
    </row>
    <row r="187" customFormat="false" ht="15" hidden="false" customHeight="false" outlineLevel="0" collapsed="false">
      <c r="A187" s="41" t="s">
        <v>285</v>
      </c>
    </row>
    <row r="188" customFormat="false" ht="15" hidden="false" customHeight="false" outlineLevel="0" collapsed="false">
      <c r="A188" s="41" t="s">
        <v>286</v>
      </c>
    </row>
    <row r="189" customFormat="false" ht="15" hidden="false" customHeight="false" outlineLevel="0" collapsed="false">
      <c r="A189" s="41" t="s">
        <v>287</v>
      </c>
    </row>
    <row r="190" customFormat="false" ht="15" hidden="false" customHeight="false" outlineLevel="0" collapsed="false">
      <c r="A190" s="41" t="s">
        <v>180</v>
      </c>
    </row>
    <row r="191" customFormat="false" ht="15" hidden="false" customHeight="false" outlineLevel="0" collapsed="false">
      <c r="A191" s="41" t="s">
        <v>288</v>
      </c>
    </row>
    <row r="192" customFormat="false" ht="15" hidden="false" customHeight="false" outlineLevel="0" collapsed="false">
      <c r="A192" s="41" t="s">
        <v>289</v>
      </c>
    </row>
    <row r="193" customFormat="false" ht="15" hidden="false" customHeight="false" outlineLevel="0" collapsed="false">
      <c r="A193" s="41" t="s">
        <v>290</v>
      </c>
    </row>
    <row r="194" customFormat="false" ht="15" hidden="false" customHeight="false" outlineLevel="0" collapsed="false">
      <c r="A194" s="41" t="s">
        <v>291</v>
      </c>
    </row>
    <row r="195" customFormat="false" ht="15" hidden="false" customHeight="false" outlineLevel="0" collapsed="false">
      <c r="A195" s="41" t="s">
        <v>242</v>
      </c>
    </row>
    <row r="196" customFormat="false" ht="15" hidden="false" customHeight="false" outlineLevel="0" collapsed="false">
      <c r="A196" s="41" t="s">
        <v>190</v>
      </c>
    </row>
    <row r="197" customFormat="false" ht="15" hidden="false" customHeight="false" outlineLevel="0" collapsed="false">
      <c r="A197" s="41" t="s">
        <v>292</v>
      </c>
    </row>
    <row r="198" customFormat="false" ht="15" hidden="false" customHeight="false" outlineLevel="0" collapsed="false">
      <c r="A198" s="41" t="s">
        <v>293</v>
      </c>
    </row>
    <row r="199" customFormat="false" ht="15" hidden="false" customHeight="false" outlineLevel="0" collapsed="false">
      <c r="A199" s="41" t="s">
        <v>294</v>
      </c>
    </row>
    <row r="200" customFormat="false" ht="15" hidden="false" customHeight="false" outlineLevel="0" collapsed="false">
      <c r="A200" s="41" t="s">
        <v>180</v>
      </c>
    </row>
    <row r="201" customFormat="false" ht="15" hidden="false" customHeight="false" outlineLevel="0" collapsed="false">
      <c r="A201" s="41"/>
    </row>
    <row r="202" customFormat="false" ht="15" hidden="false" customHeight="false" outlineLevel="0" collapsed="false">
      <c r="A202" s="41" t="s">
        <v>295</v>
      </c>
    </row>
    <row r="203" customFormat="false" ht="15" hidden="false" customHeight="false" outlineLevel="0" collapsed="false">
      <c r="A203" s="41" t="s">
        <v>296</v>
      </c>
    </row>
    <row r="204" customFormat="false" ht="15" hidden="false" customHeight="false" outlineLevel="0" collapsed="false">
      <c r="A204" s="41" t="s">
        <v>297</v>
      </c>
    </row>
    <row r="205" customFormat="false" ht="15" hidden="false" customHeight="false" outlineLevel="0" collapsed="false">
      <c r="A205" s="41" t="s">
        <v>298</v>
      </c>
    </row>
    <row r="206" customFormat="false" ht="15" hidden="false" customHeight="false" outlineLevel="0" collapsed="false">
      <c r="A206" s="41" t="s">
        <v>299</v>
      </c>
    </row>
    <row r="207" customFormat="false" ht="15" hidden="false" customHeight="false" outlineLevel="0" collapsed="false">
      <c r="A207" s="41" t="s">
        <v>180</v>
      </c>
    </row>
    <row r="208" customFormat="false" ht="15" hidden="false" customHeight="false" outlineLevel="0" collapsed="false">
      <c r="A208" s="41" t="s">
        <v>300</v>
      </c>
    </row>
    <row r="209" customFormat="false" ht="15" hidden="false" customHeight="false" outlineLevel="0" collapsed="false">
      <c r="A209" s="41" t="s">
        <v>301</v>
      </c>
    </row>
    <row r="210" customFormat="false" ht="15" hidden="false" customHeight="false" outlineLevel="0" collapsed="false">
      <c r="A210" s="41"/>
    </row>
    <row r="211" customFormat="false" ht="15" hidden="false" customHeight="false" outlineLevel="0" collapsed="false">
      <c r="A211" s="41" t="s">
        <v>302</v>
      </c>
    </row>
    <row r="212" customFormat="false" ht="15" hidden="false" customHeight="false" outlineLevel="0" collapsed="false">
      <c r="A212" s="41"/>
    </row>
    <row r="213" customFormat="false" ht="15" hidden="false" customHeight="false" outlineLevel="0" collapsed="false">
      <c r="A213" s="41"/>
    </row>
    <row r="214" customFormat="false" ht="15" hidden="false" customHeight="false" outlineLevel="0" collapsed="false">
      <c r="A214" s="41" t="s">
        <v>303</v>
      </c>
    </row>
    <row r="215" customFormat="false" ht="15" hidden="false" customHeight="false" outlineLevel="0" collapsed="false">
      <c r="A215" s="41" t="s">
        <v>304</v>
      </c>
    </row>
    <row r="216" customFormat="false" ht="15" hidden="false" customHeight="false" outlineLevel="0" collapsed="false">
      <c r="A216" s="41" t="s">
        <v>305</v>
      </c>
    </row>
    <row r="217" customFormat="false" ht="15" hidden="false" customHeight="false" outlineLevel="0" collapsed="false">
      <c r="A217" s="41" t="s">
        <v>306</v>
      </c>
    </row>
    <row r="218" customFormat="false" ht="15" hidden="false" customHeight="false" outlineLevel="0" collapsed="false">
      <c r="A218" s="41" t="s">
        <v>307</v>
      </c>
    </row>
    <row r="219" customFormat="false" ht="15" hidden="false" customHeight="false" outlineLevel="0" collapsed="false">
      <c r="A219" s="41" t="s">
        <v>308</v>
      </c>
    </row>
    <row r="220" customFormat="false" ht="15" hidden="false" customHeight="false" outlineLevel="0" collapsed="false">
      <c r="A220" s="41" t="s">
        <v>309</v>
      </c>
    </row>
    <row r="221" customFormat="false" ht="15" hidden="false" customHeight="false" outlineLevel="0" collapsed="false">
      <c r="A221" s="41" t="s">
        <v>310</v>
      </c>
    </row>
    <row r="222" customFormat="false" ht="15" hidden="false" customHeight="false" outlineLevel="0" collapsed="false">
      <c r="A222" s="41" t="s">
        <v>306</v>
      </c>
    </row>
    <row r="223" customFormat="false" ht="15" hidden="false" customHeight="false" outlineLevel="0" collapsed="false">
      <c r="A223" s="41" t="s">
        <v>311</v>
      </c>
    </row>
    <row r="224" customFormat="false" ht="15" hidden="false" customHeight="false" outlineLevel="0" collapsed="false">
      <c r="A224" s="41" t="s">
        <v>312</v>
      </c>
    </row>
    <row r="225" customFormat="false" ht="15" hidden="false" customHeight="false" outlineLevel="0" collapsed="false">
      <c r="A225" s="41" t="s">
        <v>313</v>
      </c>
    </row>
    <row r="226" customFormat="false" ht="15" hidden="false" customHeight="false" outlineLevel="0" collapsed="false">
      <c r="A226" s="41"/>
    </row>
    <row r="227" customFormat="false" ht="15" hidden="false" customHeight="false" outlineLevel="0" collapsed="false">
      <c r="A227" s="41" t="s">
        <v>314</v>
      </c>
    </row>
    <row r="228" customFormat="false" ht="15" hidden="false" customHeight="false" outlineLevel="0" collapsed="false">
      <c r="A228" s="41" t="s">
        <v>315</v>
      </c>
    </row>
    <row r="229" customFormat="false" ht="15" hidden="false" customHeight="false" outlineLevel="0" collapsed="false">
      <c r="A229" s="41" t="s">
        <v>316</v>
      </c>
    </row>
    <row r="230" customFormat="false" ht="15" hidden="false" customHeight="false" outlineLevel="0" collapsed="false">
      <c r="A230" s="41" t="s">
        <v>317</v>
      </c>
    </row>
    <row r="231" customFormat="false" ht="15" hidden="false" customHeight="false" outlineLevel="0" collapsed="false">
      <c r="A231" s="41" t="s">
        <v>306</v>
      </c>
    </row>
    <row r="232" customFormat="false" ht="15" hidden="false" customHeight="false" outlineLevel="0" collapsed="false">
      <c r="A232" s="41" t="s">
        <v>318</v>
      </c>
    </row>
    <row r="233" customFormat="false" ht="15" hidden="false" customHeight="false" outlineLevel="0" collapsed="false">
      <c r="A233" s="41" t="s">
        <v>319</v>
      </c>
    </row>
    <row r="234" customFormat="false" ht="15" hidden="false" customHeight="false" outlineLevel="0" collapsed="false">
      <c r="A234" s="41" t="s">
        <v>320</v>
      </c>
    </row>
    <row r="235" customFormat="false" ht="15" hidden="false" customHeight="false" outlineLevel="0" collapsed="false">
      <c r="A235" s="41" t="s">
        <v>321</v>
      </c>
    </row>
    <row r="236" customFormat="false" ht="15" hidden="false" customHeight="false" outlineLevel="0" collapsed="false">
      <c r="A236" s="41" t="s">
        <v>322</v>
      </c>
    </row>
    <row r="237" customFormat="false" ht="15" hidden="false" customHeight="false" outlineLevel="0" collapsed="false">
      <c r="A237" s="41" t="s">
        <v>323</v>
      </c>
    </row>
    <row r="238" customFormat="false" ht="15" hidden="false" customHeight="false" outlineLevel="0" collapsed="false">
      <c r="A238" s="41" t="s">
        <v>324</v>
      </c>
    </row>
    <row r="239" customFormat="false" ht="15" hidden="false" customHeight="false" outlineLevel="0" collapsed="false">
      <c r="A239" s="41" t="s">
        <v>306</v>
      </c>
    </row>
    <row r="240" customFormat="false" ht="15" hidden="false" customHeight="false" outlineLevel="0" collapsed="false">
      <c r="A240" s="41" t="s">
        <v>325</v>
      </c>
    </row>
    <row r="241" customFormat="false" ht="15" hidden="false" customHeight="false" outlineLevel="0" collapsed="false">
      <c r="A241" s="41" t="s">
        <v>326</v>
      </c>
    </row>
    <row r="242" customFormat="false" ht="15" hidden="false" customHeight="false" outlineLevel="0" collapsed="false">
      <c r="A242" s="41" t="s">
        <v>327</v>
      </c>
    </row>
    <row r="243" customFormat="false" ht="15" hidden="false" customHeight="false" outlineLevel="0" collapsed="false">
      <c r="A243" s="41" t="s">
        <v>328</v>
      </c>
    </row>
    <row r="244" customFormat="false" ht="15" hidden="false" customHeight="false" outlineLevel="0" collapsed="false">
      <c r="A244" s="41"/>
    </row>
    <row r="245" customFormat="false" ht="15" hidden="false" customHeight="false" outlineLevel="0" collapsed="false">
      <c r="A245" s="41" t="s">
        <v>329</v>
      </c>
    </row>
    <row r="246" customFormat="false" ht="15" hidden="false" customHeight="false" outlineLevel="0" collapsed="false">
      <c r="A246" s="41" t="s">
        <v>330</v>
      </c>
    </row>
    <row r="247" customFormat="false" ht="15" hidden="false" customHeight="false" outlineLevel="0" collapsed="false">
      <c r="A247" s="41" t="s">
        <v>331</v>
      </c>
    </row>
    <row r="248" customFormat="false" ht="15" hidden="false" customHeight="false" outlineLevel="0" collapsed="false">
      <c r="A248" s="41" t="s">
        <v>332</v>
      </c>
    </row>
    <row r="249" customFormat="false" ht="15" hidden="false" customHeight="false" outlineLevel="0" collapsed="false">
      <c r="A249" s="41" t="s">
        <v>333</v>
      </c>
    </row>
    <row r="250" customFormat="false" ht="15" hidden="false" customHeight="false" outlineLevel="0" collapsed="false">
      <c r="A250" s="41" t="s">
        <v>334</v>
      </c>
    </row>
    <row r="251" customFormat="false" ht="15" hidden="false" customHeight="false" outlineLevel="0" collapsed="false">
      <c r="A251" s="41" t="s">
        <v>335</v>
      </c>
    </row>
    <row r="252" customFormat="false" ht="15" hidden="false" customHeight="false" outlineLevel="0" collapsed="false">
      <c r="A252" s="41" t="s">
        <v>336</v>
      </c>
    </row>
    <row r="253" customFormat="false" ht="15" hidden="false" customHeight="false" outlineLevel="0" collapsed="false">
      <c r="A253" s="41" t="s">
        <v>337</v>
      </c>
    </row>
    <row r="254" customFormat="false" ht="15" hidden="false" customHeight="false" outlineLevel="0" collapsed="false">
      <c r="A254" s="41" t="s">
        <v>338</v>
      </c>
    </row>
    <row r="255" customFormat="false" ht="15" hidden="false" customHeight="false" outlineLevel="0" collapsed="false">
      <c r="A255" s="41"/>
    </row>
    <row r="256" customFormat="false" ht="15" hidden="false" customHeight="false" outlineLevel="0" collapsed="false">
      <c r="A256" s="41" t="s">
        <v>339</v>
      </c>
    </row>
    <row r="257" customFormat="false" ht="15" hidden="false" customHeight="false" outlineLevel="0" collapsed="false">
      <c r="A257" s="41" t="s">
        <v>340</v>
      </c>
    </row>
    <row r="258" customFormat="false" ht="15" hidden="false" customHeight="false" outlineLevel="0" collapsed="false">
      <c r="A258" s="41" t="s">
        <v>341</v>
      </c>
    </row>
    <row r="259" customFormat="false" ht="15" hidden="false" customHeight="false" outlineLevel="0" collapsed="false">
      <c r="A259" s="41" t="s">
        <v>342</v>
      </c>
    </row>
    <row r="260" customFormat="false" ht="15" hidden="false" customHeight="false" outlineLevel="0" collapsed="false">
      <c r="A260" s="41" t="s">
        <v>343</v>
      </c>
    </row>
    <row r="261" customFormat="false" ht="15" hidden="false" customHeight="false" outlineLevel="0" collapsed="false">
      <c r="A261" s="41" t="s">
        <v>344</v>
      </c>
    </row>
    <row r="262" customFormat="false" ht="15" hidden="false" customHeight="false" outlineLevel="0" collapsed="false">
      <c r="A262" s="41" t="s">
        <v>345</v>
      </c>
    </row>
    <row r="263" customFormat="false" ht="15" hidden="false" customHeight="false" outlineLevel="0" collapsed="false">
      <c r="A263" s="41" t="s">
        <v>346</v>
      </c>
    </row>
    <row r="264" customFormat="false" ht="15" hidden="false" customHeight="false" outlineLevel="0" collapsed="false">
      <c r="A264" s="41" t="s">
        <v>347</v>
      </c>
    </row>
    <row r="265" customFormat="false" ht="15" hidden="false" customHeight="false" outlineLevel="0" collapsed="false">
      <c r="A265" s="41" t="s">
        <v>348</v>
      </c>
    </row>
    <row r="266" customFormat="false" ht="15" hidden="false" customHeight="false" outlineLevel="0" collapsed="false">
      <c r="A266" s="41" t="s">
        <v>349</v>
      </c>
    </row>
    <row r="267" customFormat="false" ht="15" hidden="false" customHeight="false" outlineLevel="0" collapsed="false">
      <c r="A267" s="41" t="s">
        <v>350</v>
      </c>
    </row>
    <row r="268" customFormat="false" ht="15" hidden="false" customHeight="false" outlineLevel="0" collapsed="false">
      <c r="A268" s="41" t="s">
        <v>351</v>
      </c>
    </row>
    <row r="269" customFormat="false" ht="15" hidden="false" customHeight="false" outlineLevel="0" collapsed="false">
      <c r="A269" s="41" t="s">
        <v>352</v>
      </c>
    </row>
    <row r="270" customFormat="false" ht="15" hidden="false" customHeight="false" outlineLevel="0" collapsed="false">
      <c r="A270" s="41" t="s">
        <v>342</v>
      </c>
    </row>
    <row r="271" customFormat="false" ht="15" hidden="false" customHeight="false" outlineLevel="0" collapsed="false">
      <c r="A271" s="41" t="s">
        <v>353</v>
      </c>
    </row>
    <row r="272" customFormat="false" ht="15" hidden="false" customHeight="false" outlineLevel="0" collapsed="false">
      <c r="A272" s="41" t="s">
        <v>354</v>
      </c>
    </row>
    <row r="273" customFormat="false" ht="15" hidden="false" customHeight="false" outlineLevel="0" collapsed="false">
      <c r="A273" s="41" t="s">
        <v>355</v>
      </c>
    </row>
    <row r="274" customFormat="false" ht="15" hidden="false" customHeight="false" outlineLevel="0" collapsed="false">
      <c r="A274" s="41" t="s">
        <v>356</v>
      </c>
    </row>
    <row r="275" customFormat="false" ht="15" hidden="false" customHeight="false" outlineLevel="0" collapsed="false">
      <c r="A275" s="41" t="s">
        <v>357</v>
      </c>
    </row>
    <row r="276" customFormat="false" ht="15" hidden="false" customHeight="false" outlineLevel="0" collapsed="false">
      <c r="A276" s="41" t="s">
        <v>358</v>
      </c>
    </row>
    <row r="277" customFormat="false" ht="15" hidden="false" customHeight="false" outlineLevel="0" collapsed="false">
      <c r="A277" s="41" t="s">
        <v>359</v>
      </c>
    </row>
    <row r="278" customFormat="false" ht="15" hidden="false" customHeight="false" outlineLevel="0" collapsed="false">
      <c r="A278" s="41" t="s">
        <v>360</v>
      </c>
    </row>
    <row r="279" customFormat="false" ht="15" hidden="false" customHeight="false" outlineLevel="0" collapsed="false">
      <c r="A279" s="41" t="s">
        <v>361</v>
      </c>
    </row>
    <row r="280" customFormat="false" ht="15" hidden="false" customHeight="false" outlineLevel="0" collapsed="false">
      <c r="A280" s="41" t="s">
        <v>362</v>
      </c>
    </row>
    <row r="281" customFormat="false" ht="15" hidden="false" customHeight="false" outlineLevel="0" collapsed="false">
      <c r="A281" s="41" t="s">
        <v>363</v>
      </c>
    </row>
    <row r="282" customFormat="false" ht="15" hidden="false" customHeight="false" outlineLevel="0" collapsed="false">
      <c r="A282" s="41"/>
    </row>
    <row r="283" customFormat="false" ht="15" hidden="false" customHeight="false" outlineLevel="0" collapsed="false">
      <c r="A283" s="41" t="s">
        <v>364</v>
      </c>
    </row>
    <row r="284" customFormat="false" ht="15" hidden="false" customHeight="false" outlineLevel="0" collapsed="false">
      <c r="A284" s="41" t="s">
        <v>365</v>
      </c>
    </row>
    <row r="285" customFormat="false" ht="15" hidden="false" customHeight="false" outlineLevel="0" collapsed="false">
      <c r="A285" s="41" t="s">
        <v>366</v>
      </c>
    </row>
    <row r="286" customFormat="false" ht="15" hidden="false" customHeight="false" outlineLevel="0" collapsed="false">
      <c r="A286" s="41" t="s">
        <v>367</v>
      </c>
    </row>
    <row r="287" customFormat="false" ht="15" hidden="false" customHeight="false" outlineLevel="0" collapsed="false">
      <c r="A287" s="41" t="s">
        <v>342</v>
      </c>
    </row>
    <row r="288" customFormat="false" ht="15" hidden="false" customHeight="false" outlineLevel="0" collapsed="false">
      <c r="A288" s="41" t="s">
        <v>368</v>
      </c>
    </row>
    <row r="289" customFormat="false" ht="15" hidden="false" customHeight="false" outlineLevel="0" collapsed="false">
      <c r="A289" s="41" t="s">
        <v>369</v>
      </c>
    </row>
    <row r="290" customFormat="false" ht="15" hidden="false" customHeight="false" outlineLevel="0" collapsed="false">
      <c r="A290" s="41" t="s">
        <v>370</v>
      </c>
    </row>
    <row r="291" customFormat="false" ht="15" hidden="false" customHeight="false" outlineLevel="0" collapsed="false">
      <c r="A291" s="41" t="s">
        <v>371</v>
      </c>
    </row>
    <row r="292" customFormat="false" ht="15" hidden="false" customHeight="false" outlineLevel="0" collapsed="false">
      <c r="A292" s="41" t="s">
        <v>342</v>
      </c>
    </row>
    <row r="293" customFormat="false" ht="15" hidden="false" customHeight="false" outlineLevel="0" collapsed="false">
      <c r="A293" s="41" t="s">
        <v>372</v>
      </c>
    </row>
    <row r="294" customFormat="false" ht="15" hidden="false" customHeight="false" outlineLevel="0" collapsed="false">
      <c r="A294" s="41" t="s">
        <v>373</v>
      </c>
    </row>
    <row r="295" customFormat="false" ht="15" hidden="false" customHeight="false" outlineLevel="0" collapsed="false">
      <c r="A295" s="41" t="s">
        <v>374</v>
      </c>
    </row>
    <row r="296" customFormat="false" ht="15" hidden="false" customHeight="false" outlineLevel="0" collapsed="false">
      <c r="A296" s="41" t="s">
        <v>375</v>
      </c>
    </row>
    <row r="297" customFormat="false" ht="15" hidden="false" customHeight="false" outlineLevel="0" collapsed="false">
      <c r="A297" s="41" t="s">
        <v>376</v>
      </c>
    </row>
    <row r="298" customFormat="false" ht="15" hidden="false" customHeight="false" outlineLevel="0" collapsed="false">
      <c r="A298" s="41" t="s">
        <v>370</v>
      </c>
    </row>
    <row r="299" customFormat="false" ht="15" hidden="false" customHeight="false" outlineLevel="0" collapsed="false">
      <c r="A299" s="41" t="s">
        <v>377</v>
      </c>
    </row>
    <row r="300" customFormat="false" ht="15" hidden="false" customHeight="false" outlineLevel="0" collapsed="false">
      <c r="A300" s="41" t="s">
        <v>342</v>
      </c>
    </row>
    <row r="301" customFormat="false" ht="15" hidden="false" customHeight="false" outlineLevel="0" collapsed="false">
      <c r="A301" s="41" t="s">
        <v>378</v>
      </c>
    </row>
    <row r="302" customFormat="false" ht="15" hidden="false" customHeight="false" outlineLevel="0" collapsed="false">
      <c r="A302" s="41" t="s">
        <v>379</v>
      </c>
    </row>
    <row r="303" customFormat="false" ht="15" hidden="false" customHeight="false" outlineLevel="0" collapsed="false">
      <c r="A303" s="41" t="s">
        <v>380</v>
      </c>
    </row>
    <row r="304" customFormat="false" ht="15" hidden="false" customHeight="false" outlineLevel="0" collapsed="false">
      <c r="A304" s="41" t="s">
        <v>381</v>
      </c>
    </row>
    <row r="305" customFormat="false" ht="15" hidden="false" customHeight="false" outlineLevel="0" collapsed="false">
      <c r="A305" s="41" t="s">
        <v>382</v>
      </c>
    </row>
    <row r="306" customFormat="false" ht="15" hidden="false" customHeight="false" outlineLevel="0" collapsed="false">
      <c r="A306" s="41" t="s">
        <v>383</v>
      </c>
    </row>
    <row r="307" customFormat="false" ht="15" hidden="false" customHeight="false" outlineLevel="0" collapsed="false">
      <c r="A307" s="41" t="s">
        <v>384</v>
      </c>
    </row>
    <row r="308" customFormat="false" ht="15" hidden="false" customHeight="false" outlineLevel="0" collapsed="false">
      <c r="A308" s="41" t="s">
        <v>385</v>
      </c>
    </row>
    <row r="309" customFormat="false" ht="15" hidden="false" customHeight="false" outlineLevel="0" collapsed="false">
      <c r="A309" s="41" t="s">
        <v>180</v>
      </c>
    </row>
    <row r="310" customFormat="false" ht="15" hidden="false" customHeight="false" outlineLevel="0" collapsed="false">
      <c r="A310" s="41" t="s">
        <v>386</v>
      </c>
    </row>
    <row r="311" customFormat="false" ht="15" hidden="false" customHeight="false" outlineLevel="0" collapsed="false">
      <c r="A311" s="41" t="s">
        <v>387</v>
      </c>
    </row>
    <row r="312" customFormat="false" ht="15" hidden="false" customHeight="false" outlineLevel="0" collapsed="false">
      <c r="A312" s="41" t="s">
        <v>388</v>
      </c>
    </row>
    <row r="313" customFormat="false" ht="15" hidden="false" customHeight="false" outlineLevel="0" collapsed="false">
      <c r="A313" s="41"/>
    </row>
    <row r="314" customFormat="false" ht="15" hidden="false" customHeight="false" outlineLevel="0" collapsed="false">
      <c r="A314" s="41" t="s">
        <v>389</v>
      </c>
    </row>
    <row r="315" customFormat="false" ht="15" hidden="false" customHeight="false" outlineLevel="0" collapsed="false">
      <c r="A315" s="41" t="s">
        <v>390</v>
      </c>
    </row>
    <row r="316" customFormat="false" ht="15" hidden="false" customHeight="false" outlineLevel="0" collapsed="false">
      <c r="A316" s="42" t="str">
        <f aca="false">"    &lt;p class=""occhiello""&gt;"&amp;'Testi Menu'!$B$5&amp;"&lt;/p&gt;"</f>
        <v>    &lt;p class="occhiello"&gt;Parrocchia di Sant'Agostino · Ferrara&lt;/p&gt;</v>
      </c>
    </row>
    <row r="317" customFormat="false" ht="15" hidden="false" customHeight="false" outlineLevel="0" collapsed="false">
      <c r="A317" s="42" t="str">
        <f aca="false">"    &lt;h1 class=""titolo""&gt;&lt;span class=""riga1""&gt;"&amp;'Testi Menu'!$B$6&amp;"&lt;/span&gt;&lt;span class=""riga2""&gt;"&amp;'Testi Menu'!$B$7&amp;"&lt;/span&gt;&lt;span class=""anno""&gt;"&amp;'Testi Menu'!$B$8&amp;"&lt;/span&gt;&lt;/h1&gt;"</f>
        <v>    &lt;h1 class="titolo"&gt;&lt;span class="riga1"&gt;Festa di&lt;/span&gt;&lt;span class="riga2"&gt;Sant'Agostino&lt;/span&gt;&lt;span class="anno"&gt;2026&lt;/span&gt;&lt;/h1&gt;</v>
      </c>
    </row>
    <row r="318" customFormat="false" ht="15" hidden="false" customHeight="false" outlineLevel="0" collapsed="false">
      <c r="A318" s="42" t="str">
        <f aca="false">"    &lt;p class=""sottotitolo""&gt;"&amp;'Testi Menu'!$B$9&amp;IF('Testi Menu'!$B$10="","","&lt;br&gt;"&amp;'Testi Menu'!$B$10)&amp;IF('Testi Menu'!$B$11="","","&lt;br&gt;"&amp;'Testi Menu'!$B$11)&amp;"&lt;/p&gt;"</f>
        <v>    &lt;p class="sottotitolo"&gt;Due weekend di piadine e hamburger!!&lt;br&gt;Si ordina alla cassa e si ritirano le bevande.&lt;br&gt;Il cibo verrà servito al tavolo.&lt;/p&gt;</v>
      </c>
    </row>
    <row r="319" customFormat="false" ht="15" hidden="false" customHeight="false" outlineLevel="0" collapsed="false">
      <c r="A319" s="41" t="s">
        <v>391</v>
      </c>
    </row>
    <row r="320" customFormat="false" ht="15" hidden="false" customHeight="false" outlineLevel="0" collapsed="false">
      <c r="A320" s="41" t="s">
        <v>392</v>
      </c>
    </row>
    <row r="321" customFormat="false" ht="15" hidden="false" customHeight="false" outlineLevel="0" collapsed="false">
      <c r="A321" s="41"/>
    </row>
    <row r="322" customFormat="false" ht="15" hidden="false" customHeight="false" outlineLevel="0" collapsed="false">
      <c r="A322" s="41" t="s">
        <v>393</v>
      </c>
    </row>
    <row r="323" customFormat="false" ht="15" hidden="false" customHeight="false" outlineLevel="0" collapsed="false">
      <c r="A323" s="41" t="s">
        <v>394</v>
      </c>
    </row>
    <row r="324" customFormat="false" ht="15" hidden="false" customHeight="false" outlineLevel="0" collapsed="false">
      <c r="A324" s="42" t="str">
        <f aca="false">"    &lt;li&gt;&lt;a href=""#cucina""&gt;"&amp;'Testi Menu'!$B$13&amp;"&lt;/a&gt;&lt;/li&gt;"</f>
        <v>    &lt;li&gt;&lt;a href="#cucina"&gt;Cucina&lt;/a&gt;&lt;/li&gt;</v>
      </c>
    </row>
    <row r="325" customFormat="false" ht="15" hidden="false" customHeight="false" outlineLevel="0" collapsed="false">
      <c r="A325" s="42" t="str">
        <f aca="false">"    &lt;li&gt;&lt;a href=""#fritti""&gt;"&amp;'Testi Menu'!$B$15&amp;"&lt;/a&gt;&lt;/li&gt;"</f>
        <v>    &lt;li&gt;&lt;a href="#fritti"&gt;Fritti&lt;/a&gt;&lt;/li&gt;</v>
      </c>
    </row>
    <row r="326" customFormat="false" ht="15" hidden="false" customHeight="false" outlineLevel="0" collapsed="false">
      <c r="A326" s="42" t="str">
        <f aca="false">"    &lt;li&gt;&lt;a href=""#bevande""&gt;"&amp;'Testi Menu'!$B$17&amp;"&lt;/a&gt;&lt;/li&gt;"</f>
        <v>    &lt;li&gt;&lt;a href="#bevande"&gt;Bevande&lt;/a&gt;&lt;/li&gt;</v>
      </c>
    </row>
    <row r="327" customFormat="false" ht="15" hidden="false" customHeight="false" outlineLevel="0" collapsed="false">
      <c r="A327" s="41" t="s">
        <v>395</v>
      </c>
    </row>
    <row r="328" customFormat="false" ht="15" hidden="false" customHeight="false" outlineLevel="0" collapsed="false">
      <c r="A328" s="41" t="s">
        <v>396</v>
      </c>
    </row>
    <row r="329" customFormat="false" ht="15" hidden="false" customHeight="false" outlineLevel="0" collapsed="false">
      <c r="A329" s="41"/>
    </row>
    <row r="330" customFormat="false" ht="15" hidden="false" customHeight="false" outlineLevel="0" collapsed="false">
      <c r="A330" s="41" t="s">
        <v>397</v>
      </c>
    </row>
    <row r="331" customFormat="false" ht="15" hidden="false" customHeight="false" outlineLevel="0" collapsed="false">
      <c r="A331" s="41"/>
    </row>
    <row r="332" customFormat="false" ht="15" hidden="false" customHeight="false" outlineLevel="0" collapsed="false">
      <c r="A332" s="41" t="s">
        <v>398</v>
      </c>
    </row>
    <row r="333" customFormat="false" ht="15" hidden="false" customHeight="false" outlineLevel="0" collapsed="false">
      <c r="A333" s="41" t="s">
        <v>399</v>
      </c>
    </row>
    <row r="334" customFormat="false" ht="15" hidden="false" customHeight="false" outlineLevel="0" collapsed="false">
      <c r="A334" s="42" t="str">
        <f aca="false">"      &lt;h2&gt;"&amp;'Testi Menu'!$B$13&amp;"&lt;/h2&gt;"</f>
        <v>      &lt;h2&gt;Cucina&lt;/h2&gt;</v>
      </c>
    </row>
    <row r="335" customFormat="false" ht="15" hidden="false" customHeight="false" outlineLevel="0" collapsed="false">
      <c r="A335" s="42" t="str">
        <f aca="false">"      &lt;p&gt;"&amp;'Testi Menu'!$B$14&amp;"&lt;/p&gt;"</f>
        <v>      &lt;p&gt;Piadine e hamburger&lt;/p&gt;</v>
      </c>
    </row>
    <row r="336" customFormat="false" ht="15" hidden="false" customHeight="false" outlineLevel="0" collapsed="false">
      <c r="A336" s="41" t="s">
        <v>400</v>
      </c>
    </row>
    <row r="337" customFormat="false" ht="15" hidden="false" customHeight="false" outlineLevel="0" collapsed="false">
      <c r="A337" s="41" t="s">
        <v>401</v>
      </c>
    </row>
    <row r="338" customFormat="false" ht="15" hidden="false" customHeight="false" outlineLevel="0" collapsed="false">
      <c r="A338" s="41" t="s">
        <v>402</v>
      </c>
    </row>
    <row r="339" customFormat="false" ht="15" hidden="false" customHeight="false" outlineLevel="0" collapsed="false">
      <c r="A339" s="43" t="str">
        <f aca="false">"        &lt;span class=""nome""&gt;"&amp;'Prodotti Finiti'!$V$2&amp;IF('Prodotti Finiti'!$W$2="","","&lt;em&gt;"&amp;'Prodotti Finiti'!$W$2&amp;"&lt;/em&gt;")&amp;"&lt;/span&gt;"</f>
        <v>        &lt;span class="nome"&gt;Piadina prosciutto crudo&lt;/span&gt;</v>
      </c>
    </row>
    <row r="340" customFormat="false" ht="15" hidden="false" customHeight="false" outlineLevel="0" collapsed="false">
      <c r="A340" s="41" t="s">
        <v>403</v>
      </c>
    </row>
    <row r="341" customFormat="false" ht="15" hidden="false" customHeight="false" outlineLevel="0" collapsed="false">
      <c r="A341" s="44" t="str">
        <f aca="false">"        &lt;span class=""prezzo""&gt;"&amp;INT('Prodotti Finiti'!$B$2)&amp;","&amp;RIGHT("0"&amp;ROUND(MOD('Prodotti Finiti'!$B$2,1)*100,0),2)&amp;"&lt;/span&gt;"</f>
        <v>        &lt;span class="prezzo"&gt;5,50&lt;/span&gt;</v>
      </c>
    </row>
    <row r="342" customFormat="false" ht="15" hidden="false" customHeight="false" outlineLevel="0" collapsed="false">
      <c r="A342" s="41" t="s">
        <v>404</v>
      </c>
    </row>
    <row r="343" customFormat="false" ht="15" hidden="false" customHeight="false" outlineLevel="0" collapsed="false">
      <c r="A343" s="41" t="s">
        <v>402</v>
      </c>
    </row>
    <row r="344" customFormat="false" ht="15" hidden="false" customHeight="false" outlineLevel="0" collapsed="false">
      <c r="A344" s="43" t="str">
        <f aca="false">"        &lt;span class=""nome""&gt;"&amp;'Prodotti Finiti'!$V$3&amp;IF('Prodotti Finiti'!$W$3="","","&lt;em&gt;"&amp;'Prodotti Finiti'!$W$3&amp;"&lt;/em&gt;")&amp;"&lt;/span&gt;"</f>
        <v>        &lt;span class="nome"&gt;Piadina prosciutto crudo e formaggio&lt;/span&gt;</v>
      </c>
    </row>
    <row r="345" customFormat="false" ht="15" hidden="false" customHeight="false" outlineLevel="0" collapsed="false">
      <c r="A345" s="41" t="s">
        <v>403</v>
      </c>
    </row>
    <row r="346" customFormat="false" ht="15" hidden="false" customHeight="false" outlineLevel="0" collapsed="false">
      <c r="A346" s="44" t="str">
        <f aca="false">"        &lt;span class=""prezzo""&gt;"&amp;INT('Prodotti Finiti'!$B$3)&amp;","&amp;RIGHT("0"&amp;ROUND(MOD('Prodotti Finiti'!$B$3,1)*100,0),2)&amp;"&lt;/span&gt;"</f>
        <v>        &lt;span class="prezzo"&gt;5,50&lt;/span&gt;</v>
      </c>
    </row>
    <row r="347" customFormat="false" ht="15" hidden="false" customHeight="false" outlineLevel="0" collapsed="false">
      <c r="A347" s="41" t="s">
        <v>404</v>
      </c>
    </row>
    <row r="348" customFormat="false" ht="15" hidden="false" customHeight="false" outlineLevel="0" collapsed="false">
      <c r="A348" s="41" t="s">
        <v>402</v>
      </c>
    </row>
    <row r="349" customFormat="false" ht="15" hidden="false" customHeight="false" outlineLevel="0" collapsed="false">
      <c r="A349" s="43" t="str">
        <f aca="false">"        &lt;span class=""nome""&gt;"&amp;'Prodotti Finiti'!$V$6&amp;IF('Prodotti Finiti'!$W$6="","","&lt;em&gt;"&amp;'Prodotti Finiti'!$W$6&amp;"&lt;/em&gt;")&amp;"&lt;/span&gt;"</f>
        <v>        &lt;span class="nome"&gt;Piadina salame ferrarese&lt;/span&gt;</v>
      </c>
    </row>
    <row r="350" customFormat="false" ht="15" hidden="false" customHeight="false" outlineLevel="0" collapsed="false">
      <c r="A350" s="41" t="s">
        <v>403</v>
      </c>
    </row>
    <row r="351" customFormat="false" ht="15" hidden="false" customHeight="false" outlineLevel="0" collapsed="false">
      <c r="A351" s="44" t="str">
        <f aca="false">"        &lt;span class=""prezzo""&gt;"&amp;INT('Prodotti Finiti'!$B$6)&amp;","&amp;RIGHT("0"&amp;ROUND(MOD('Prodotti Finiti'!$B$6,1)*100,0),2)&amp;"&lt;/span&gt;"</f>
        <v>        &lt;span class="prezzo"&gt;5,50&lt;/span&gt;</v>
      </c>
    </row>
    <row r="352" customFormat="false" ht="15" hidden="false" customHeight="false" outlineLevel="0" collapsed="false">
      <c r="A352" s="41" t="s">
        <v>404</v>
      </c>
    </row>
    <row r="353" customFormat="false" ht="15" hidden="false" customHeight="false" outlineLevel="0" collapsed="false">
      <c r="A353" s="41" t="s">
        <v>402</v>
      </c>
    </row>
    <row r="354" customFormat="false" ht="15" hidden="false" customHeight="false" outlineLevel="0" collapsed="false">
      <c r="A354" s="43" t="str">
        <f aca="false">"        &lt;span class=""nome""&gt;"&amp;'Prodotti Finiti'!$V$7&amp;IF('Prodotti Finiti'!$W$7="","","&lt;em&gt;"&amp;'Prodotti Finiti'!$W$7&amp;"&lt;/em&gt;")&amp;"&lt;/span&gt;"</f>
        <v>        &lt;span class="nome"&gt;Piadina salame ferrarese e formaggio&lt;/span&gt;</v>
      </c>
    </row>
    <row r="355" customFormat="false" ht="15" hidden="false" customHeight="false" outlineLevel="0" collapsed="false">
      <c r="A355" s="41" t="s">
        <v>403</v>
      </c>
    </row>
    <row r="356" customFormat="false" ht="15" hidden="false" customHeight="false" outlineLevel="0" collapsed="false">
      <c r="A356" s="44" t="str">
        <f aca="false">"        &lt;span class=""prezzo""&gt;"&amp;INT('Prodotti Finiti'!$B$7)&amp;","&amp;RIGHT("0"&amp;ROUND(MOD('Prodotti Finiti'!$B$7,1)*100,0),2)&amp;"&lt;/span&gt;"</f>
        <v>        &lt;span class="prezzo"&gt;5,50&lt;/span&gt;</v>
      </c>
    </row>
    <row r="357" customFormat="false" ht="15" hidden="false" customHeight="false" outlineLevel="0" collapsed="false">
      <c r="A357" s="41" t="s">
        <v>404</v>
      </c>
    </row>
    <row r="358" customFormat="false" ht="15" hidden="false" customHeight="false" outlineLevel="0" collapsed="false">
      <c r="A358" s="41" t="s">
        <v>402</v>
      </c>
    </row>
    <row r="359" customFormat="false" ht="15" hidden="false" customHeight="false" outlineLevel="0" collapsed="false">
      <c r="A359" s="43" t="str">
        <f aca="false">"        &lt;span class=""nome""&gt;"&amp;'Prodotti Finiti'!$V$4&amp;IF('Prodotti Finiti'!$W$4="","","&lt;em&gt;"&amp;'Prodotti Finiti'!$W$4&amp;"&lt;/em&gt;")&amp;"&lt;/span&gt;"</f>
        <v>        &lt;span class="nome"&gt;Piadina prosciutto cotto&lt;/span&gt;</v>
      </c>
    </row>
    <row r="360" customFormat="false" ht="15" hidden="false" customHeight="false" outlineLevel="0" collapsed="false">
      <c r="A360" s="41" t="s">
        <v>403</v>
      </c>
    </row>
    <row r="361" customFormat="false" ht="15" hidden="false" customHeight="false" outlineLevel="0" collapsed="false">
      <c r="A361" s="44" t="str">
        <f aca="false">"        &lt;span class=""prezzo""&gt;"&amp;INT('Prodotti Finiti'!$B$4)&amp;","&amp;RIGHT("0"&amp;ROUND(MOD('Prodotti Finiti'!$B$4,1)*100,0),2)&amp;"&lt;/span&gt;"</f>
        <v>        &lt;span class="prezzo"&gt;5,00&lt;/span&gt;</v>
      </c>
    </row>
    <row r="362" customFormat="false" ht="15" hidden="false" customHeight="false" outlineLevel="0" collapsed="false">
      <c r="A362" s="41" t="s">
        <v>404</v>
      </c>
    </row>
    <row r="363" customFormat="false" ht="15" hidden="false" customHeight="false" outlineLevel="0" collapsed="false">
      <c r="A363" s="41" t="s">
        <v>402</v>
      </c>
    </row>
    <row r="364" customFormat="false" ht="15" hidden="false" customHeight="false" outlineLevel="0" collapsed="false">
      <c r="A364" s="43" t="str">
        <f aca="false">"        &lt;span class=""nome""&gt;"&amp;'Prodotti Finiti'!$V$5&amp;IF('Prodotti Finiti'!$W$5="","","&lt;em&gt;"&amp;'Prodotti Finiti'!$W$5&amp;"&lt;/em&gt;")&amp;"&lt;/span&gt;"</f>
        <v>        &lt;span class="nome"&gt;Piadina prosciutto cotto e formaggio&lt;/span&gt;</v>
      </c>
    </row>
    <row r="365" customFormat="false" ht="15" hidden="false" customHeight="false" outlineLevel="0" collapsed="false">
      <c r="A365" s="41" t="s">
        <v>403</v>
      </c>
    </row>
    <row r="366" customFormat="false" ht="15" hidden="false" customHeight="false" outlineLevel="0" collapsed="false">
      <c r="A366" s="44" t="str">
        <f aca="false">"        &lt;span class=""prezzo""&gt;"&amp;INT('Prodotti Finiti'!$B$5)&amp;","&amp;RIGHT("0"&amp;ROUND(MOD('Prodotti Finiti'!$B$5,1)*100,0),2)&amp;"&lt;/span&gt;"</f>
        <v>        &lt;span class="prezzo"&gt;5,00&lt;/span&gt;</v>
      </c>
    </row>
    <row r="367" customFormat="false" ht="15" hidden="false" customHeight="false" outlineLevel="0" collapsed="false">
      <c r="A367" s="41" t="s">
        <v>404</v>
      </c>
    </row>
    <row r="368" customFormat="false" ht="15" hidden="false" customHeight="false" outlineLevel="0" collapsed="false">
      <c r="A368" s="41" t="s">
        <v>402</v>
      </c>
    </row>
    <row r="369" customFormat="false" ht="15" hidden="false" customHeight="false" outlineLevel="0" collapsed="false">
      <c r="A369" s="43" t="str">
        <f aca="false">"        &lt;span class=""nome""&gt;"&amp;'Prodotti Finiti'!$V$8&amp;IF('Prodotti Finiti'!$W$8="","","&lt;em&gt;"&amp;'Prodotti Finiti'!$W$8&amp;"&lt;/em&gt;")&amp;"&lt;/span&gt;"</f>
        <v>        &lt;span class="nome"&gt;Piadina solo formaggio&lt;/span&gt;</v>
      </c>
    </row>
    <row r="370" customFormat="false" ht="15" hidden="false" customHeight="false" outlineLevel="0" collapsed="false">
      <c r="A370" s="41" t="s">
        <v>403</v>
      </c>
    </row>
    <row r="371" customFormat="false" ht="15" hidden="false" customHeight="false" outlineLevel="0" collapsed="false">
      <c r="A371" s="44" t="str">
        <f aca="false">"        &lt;span class=""prezzo""&gt;"&amp;INT('Prodotti Finiti'!$B$8)&amp;","&amp;RIGHT("0"&amp;ROUND(MOD('Prodotti Finiti'!$B$8,1)*100,0),2)&amp;"&lt;/span&gt;"</f>
        <v>        &lt;span class="prezzo"&gt;5,00&lt;/span&gt;</v>
      </c>
    </row>
    <row r="372" customFormat="false" ht="15" hidden="false" customHeight="false" outlineLevel="0" collapsed="false">
      <c r="A372" s="41" t="s">
        <v>404</v>
      </c>
    </row>
    <row r="373" customFormat="false" ht="15" hidden="false" customHeight="false" outlineLevel="0" collapsed="false">
      <c r="A373" s="41" t="s">
        <v>402</v>
      </c>
    </row>
    <row r="374" customFormat="false" ht="15" hidden="false" customHeight="false" outlineLevel="0" collapsed="false">
      <c r="A374" s="43" t="str">
        <f aca="false">"        &lt;span class=""nome""&gt;"&amp;'Prodotti Finiti'!$V$9&amp;IF('Prodotti Finiti'!$W$9="","","&lt;em&gt;"&amp;'Prodotti Finiti'!$W$9&amp;"&lt;/em&gt;")&amp;"&lt;/span&gt;"</f>
        <v>        &lt;span class="nome"&gt;Piatto hamburger&lt;em&gt;Carne del macellaio, pomodoro, insalata, maionese e ketchup, con patatine fritte&lt;/em&gt;&lt;/span&gt;</v>
      </c>
    </row>
    <row r="375" customFormat="false" ht="15" hidden="false" customHeight="false" outlineLevel="0" collapsed="false">
      <c r="A375" s="41" t="s">
        <v>403</v>
      </c>
    </row>
    <row r="376" customFormat="false" ht="15" hidden="false" customHeight="false" outlineLevel="0" collapsed="false">
      <c r="A376" s="44" t="str">
        <f aca="false">"        &lt;span class=""prezzo""&gt;"&amp;INT('Prodotti Finiti'!$B$9)&amp;","&amp;RIGHT("0"&amp;ROUND(MOD('Prodotti Finiti'!$B$9,1)*100,0),2)&amp;"&lt;/span&gt;"</f>
        <v>        &lt;span class="prezzo"&gt;9,50&lt;/span&gt;</v>
      </c>
    </row>
    <row r="377" customFormat="false" ht="15" hidden="false" customHeight="false" outlineLevel="0" collapsed="false">
      <c r="A377" s="41" t="s">
        <v>404</v>
      </c>
    </row>
    <row r="378" customFormat="false" ht="15" hidden="false" customHeight="false" outlineLevel="0" collapsed="false">
      <c r="A378" s="41" t="s">
        <v>405</v>
      </c>
    </row>
    <row r="379" customFormat="false" ht="15" hidden="false" customHeight="false" outlineLevel="0" collapsed="false">
      <c r="A379" s="41" t="s">
        <v>406</v>
      </c>
    </row>
    <row r="380" customFormat="false" ht="15" hidden="false" customHeight="false" outlineLevel="0" collapsed="false">
      <c r="A380" s="41"/>
    </row>
    <row r="381" customFormat="false" ht="15" hidden="false" customHeight="false" outlineLevel="0" collapsed="false">
      <c r="A381" s="41" t="s">
        <v>407</v>
      </c>
    </row>
    <row r="382" customFormat="false" ht="15" hidden="false" customHeight="false" outlineLevel="0" collapsed="false">
      <c r="A382" s="41" t="s">
        <v>399</v>
      </c>
    </row>
    <row r="383" customFormat="false" ht="15" hidden="false" customHeight="false" outlineLevel="0" collapsed="false">
      <c r="A383" s="42" t="str">
        <f aca="false">"      &lt;h2&gt;"&amp;'Testi Menu'!$B$15&amp;"&lt;/h2&gt;"</f>
        <v>      &lt;h2&gt;Fritti&lt;/h2&gt;</v>
      </c>
    </row>
    <row r="384" customFormat="false" ht="15" hidden="false" customHeight="false" outlineLevel="0" collapsed="false">
      <c r="A384" s="42" t="str">
        <f aca="false">"      &lt;p&gt;"&amp;'Testi Menu'!$B$16&amp;"&lt;/p&gt;"</f>
        <v>      &lt;p&gt;Dalla friggitrice&lt;/p&gt;</v>
      </c>
    </row>
    <row r="385" customFormat="false" ht="15" hidden="false" customHeight="false" outlineLevel="0" collapsed="false">
      <c r="A385" s="41" t="s">
        <v>400</v>
      </c>
    </row>
    <row r="386" customFormat="false" ht="15" hidden="false" customHeight="false" outlineLevel="0" collapsed="false">
      <c r="A386" s="41" t="s">
        <v>401</v>
      </c>
    </row>
    <row r="387" customFormat="false" ht="15" hidden="false" customHeight="false" outlineLevel="0" collapsed="false">
      <c r="A387" s="41" t="s">
        <v>402</v>
      </c>
    </row>
    <row r="388" customFormat="false" ht="15" hidden="false" customHeight="false" outlineLevel="0" collapsed="false">
      <c r="A388" s="43" t="str">
        <f aca="false">"        &lt;span class=""nome""&gt;"&amp;'Prodotti Finiti'!$V$10&amp;IF('Prodotti Finiti'!$W$10="","","&lt;em&gt;"&amp;'Prodotti Finiti'!$W$10&amp;"&lt;/em&gt;")&amp;"&lt;/span&gt;"</f>
        <v>        &lt;span class="nome"&gt;Patatine fritte&lt;em&gt;Con ketchup e maionese&lt;/em&gt;&lt;/span&gt;</v>
      </c>
    </row>
    <row r="389" customFormat="false" ht="15" hidden="false" customHeight="false" outlineLevel="0" collapsed="false">
      <c r="A389" s="41" t="s">
        <v>403</v>
      </c>
    </row>
    <row r="390" customFormat="false" ht="15" hidden="false" customHeight="false" outlineLevel="0" collapsed="false">
      <c r="A390" s="44" t="str">
        <f aca="false">"        &lt;span class=""prezzo""&gt;"&amp;INT('Prodotti Finiti'!$B$10)&amp;","&amp;RIGHT("0"&amp;ROUND(MOD('Prodotti Finiti'!$B$10,1)*100,0),2)&amp;"&lt;/span&gt;"</f>
        <v>        &lt;span class="prezzo"&gt;3,00&lt;/span&gt;</v>
      </c>
    </row>
    <row r="391" customFormat="false" ht="15" hidden="false" customHeight="false" outlineLevel="0" collapsed="false">
      <c r="A391" s="41" t="s">
        <v>404</v>
      </c>
    </row>
    <row r="392" customFormat="false" ht="15" hidden="false" customHeight="false" outlineLevel="0" collapsed="false">
      <c r="A392" s="41" t="s">
        <v>405</v>
      </c>
    </row>
    <row r="393" customFormat="false" ht="15" hidden="false" customHeight="false" outlineLevel="0" collapsed="false">
      <c r="A393" s="41" t="s">
        <v>406</v>
      </c>
    </row>
    <row r="394" customFormat="false" ht="15" hidden="false" customHeight="false" outlineLevel="0" collapsed="false">
      <c r="A394" s="41"/>
    </row>
    <row r="395" customFormat="false" ht="15" hidden="false" customHeight="false" outlineLevel="0" collapsed="false">
      <c r="A395" s="41" t="s">
        <v>408</v>
      </c>
    </row>
    <row r="396" customFormat="false" ht="15" hidden="false" customHeight="false" outlineLevel="0" collapsed="false">
      <c r="A396" s="41" t="s">
        <v>399</v>
      </c>
    </row>
    <row r="397" customFormat="false" ht="15" hidden="false" customHeight="false" outlineLevel="0" collapsed="false">
      <c r="A397" s="42" t="str">
        <f aca="false">"      &lt;h2&gt;"&amp;'Testi Menu'!$B$17&amp;"&lt;/h2&gt;"</f>
        <v>      &lt;h2&gt;Bevande&lt;/h2&gt;</v>
      </c>
    </row>
    <row r="398" customFormat="false" ht="15" hidden="false" customHeight="false" outlineLevel="0" collapsed="false">
      <c r="A398" s="42" t="str">
        <f aca="false">"      &lt;p&gt;"&amp;'Testi Menu'!$B$18&amp;"&lt;/p&gt;"</f>
        <v>      &lt;p&gt;Spina e bottiglia&lt;/p&gt;</v>
      </c>
    </row>
    <row r="399" customFormat="false" ht="15" hidden="false" customHeight="false" outlineLevel="0" collapsed="false">
      <c r="A399" s="41" t="s">
        <v>400</v>
      </c>
    </row>
    <row r="400" customFormat="false" ht="15" hidden="false" customHeight="false" outlineLevel="0" collapsed="false">
      <c r="A400" s="41" t="s">
        <v>401</v>
      </c>
    </row>
    <row r="401" customFormat="false" ht="15" hidden="false" customHeight="false" outlineLevel="0" collapsed="false">
      <c r="A401" s="41" t="s">
        <v>402</v>
      </c>
    </row>
    <row r="402" customFormat="false" ht="15" hidden="false" customHeight="false" outlineLevel="0" collapsed="false">
      <c r="A402" s="43" t="str">
        <f aca="false">"        &lt;span class=""nome""&gt;"&amp;'Prodotti Finiti'!$V$21&amp;IF('Prodotti Finiti'!$W$21="","","&lt;em&gt;"&amp;'Prodotti Finiti'!$W$21&amp;"&lt;/em&gt;")&amp;"&lt;/span&gt;"</f>
        <v>        &lt;span class="nome"&gt;Birra bionda&lt;em&gt;Alla spina&lt;/em&gt;&lt;/span&gt;</v>
      </c>
    </row>
    <row r="403" customFormat="false" ht="15" hidden="false" customHeight="false" outlineLevel="0" collapsed="false">
      <c r="A403" s="41" t="s">
        <v>403</v>
      </c>
    </row>
    <row r="404" customFormat="false" ht="15" hidden="false" customHeight="false" outlineLevel="0" collapsed="false">
      <c r="A404" s="41" t="s">
        <v>409</v>
      </c>
    </row>
    <row r="405" customFormat="false" ht="15" hidden="false" customHeight="false" outlineLevel="0" collapsed="false">
      <c r="A405" s="44" t="str">
        <f aca="false">"          &lt;span class=""formato""&gt;&lt;small&gt;0,2 L&lt;/small&gt;&lt;span class=""prezzo""&gt;"&amp;INT('Prodotti Finiti'!$B$21)&amp;","&amp;RIGHT("0"&amp;ROUND(MOD('Prodotti Finiti'!$B$21,1)*100,0),2)&amp;"&lt;/span&gt;&lt;/span&gt;"</f>
        <v>          &lt;span class="formato"&gt;&lt;small&gt;0,2 L&lt;/small&gt;&lt;span class="prezzo"&gt;2,50&lt;/span&gt;&lt;/span&gt;</v>
      </c>
    </row>
    <row r="406" customFormat="false" ht="15" hidden="false" customHeight="false" outlineLevel="0" collapsed="false">
      <c r="A406" s="44" t="str">
        <f aca="false">"          &lt;span class=""formato""&gt;&lt;small&gt;0,4 L&lt;/small&gt;&lt;span class=""prezzo""&gt;"&amp;INT('Prodotti Finiti'!$B$22)&amp;","&amp;RIGHT("0"&amp;ROUND(MOD('Prodotti Finiti'!$B$22,1)*100,0),2)&amp;"&lt;/span&gt;&lt;/span&gt;"</f>
        <v>          &lt;span class="formato"&gt;&lt;small&gt;0,4 L&lt;/small&gt;&lt;span class="prezzo"&gt;4,00&lt;/span&gt;&lt;/span&gt;</v>
      </c>
    </row>
    <row r="407" customFormat="false" ht="15" hidden="false" customHeight="false" outlineLevel="0" collapsed="false">
      <c r="A407" s="41" t="s">
        <v>410</v>
      </c>
    </row>
    <row r="408" customFormat="false" ht="15" hidden="false" customHeight="false" outlineLevel="0" collapsed="false">
      <c r="A408" s="41" t="s">
        <v>404</v>
      </c>
    </row>
    <row r="409" customFormat="false" ht="15" hidden="false" customHeight="false" outlineLevel="0" collapsed="false">
      <c r="A409" s="41" t="s">
        <v>402</v>
      </c>
    </row>
    <row r="410" customFormat="false" ht="15" hidden="false" customHeight="false" outlineLevel="0" collapsed="false">
      <c r="A410" s="43" t="str">
        <f aca="false">"        &lt;span class=""nome""&gt;"&amp;'Prodotti Finiti'!$V$19&amp;IF('Prodotti Finiti'!$W$19="","","&lt;em&gt;"&amp;'Prodotti Finiti'!$W$19&amp;"&lt;/em&gt;")&amp;"&lt;/span&gt;"</f>
        <v>        &lt;span class="nome"&gt;Birra rossa&lt;em&gt;Alla spina&lt;/em&gt;&lt;/span&gt;</v>
      </c>
    </row>
    <row r="411" customFormat="false" ht="15" hidden="false" customHeight="false" outlineLevel="0" collapsed="false">
      <c r="A411" s="41" t="s">
        <v>403</v>
      </c>
    </row>
    <row r="412" customFormat="false" ht="15" hidden="false" customHeight="false" outlineLevel="0" collapsed="false">
      <c r="A412" s="41" t="s">
        <v>409</v>
      </c>
    </row>
    <row r="413" customFormat="false" ht="15" hidden="false" customHeight="false" outlineLevel="0" collapsed="false">
      <c r="A413" s="44" t="str">
        <f aca="false">"          &lt;span class=""formato""&gt;&lt;small&gt;0,2 L&lt;/small&gt;&lt;span class=""prezzo""&gt;"&amp;INT('Prodotti Finiti'!$B$19)&amp;","&amp;RIGHT("0"&amp;ROUND(MOD('Prodotti Finiti'!$B$19,1)*100,0),2)&amp;"&lt;/span&gt;&lt;/span&gt;"</f>
        <v>          &lt;span class="formato"&gt;&lt;small&gt;0,2 L&lt;/small&gt;&lt;span class="prezzo"&gt;3,00&lt;/span&gt;&lt;/span&gt;</v>
      </c>
    </row>
    <row r="414" customFormat="false" ht="15" hidden="false" customHeight="false" outlineLevel="0" collapsed="false">
      <c r="A414" s="44" t="str">
        <f aca="false">"          &lt;span class=""formato""&gt;&lt;small&gt;0,4 L&lt;/small&gt;&lt;span class=""prezzo""&gt;"&amp;INT('Prodotti Finiti'!$B$20)&amp;","&amp;RIGHT("0"&amp;ROUND(MOD('Prodotti Finiti'!$B$20,1)*100,0),2)&amp;"&lt;/span&gt;&lt;/span&gt;"</f>
        <v>          &lt;span class="formato"&gt;&lt;small&gt;0,4 L&lt;/small&gt;&lt;span class="prezzo"&gt;5,00&lt;/span&gt;&lt;/span&gt;</v>
      </c>
    </row>
    <row r="415" customFormat="false" ht="15" hidden="false" customHeight="false" outlineLevel="0" collapsed="false">
      <c r="A415" s="41" t="s">
        <v>410</v>
      </c>
    </row>
    <row r="416" customFormat="false" ht="15" hidden="false" customHeight="false" outlineLevel="0" collapsed="false">
      <c r="A416" s="41" t="s">
        <v>404</v>
      </c>
    </row>
    <row r="417" customFormat="false" ht="15" hidden="false" customHeight="false" outlineLevel="0" collapsed="false">
      <c r="A417" s="41" t="s">
        <v>402</v>
      </c>
    </row>
    <row r="418" customFormat="false" ht="15" hidden="false" customHeight="false" outlineLevel="0" collapsed="false">
      <c r="A418" s="43" t="str">
        <f aca="false">"        &lt;span class=""nome""&gt;"&amp;'Prodotti Finiti'!$V$13&amp;IF('Prodotti Finiti'!$W$13="","","&lt;em&gt;"&amp;'Prodotti Finiti'!$W$13&amp;"&lt;/em&gt;")&amp;"&lt;/span&gt;"</f>
        <v>        &lt;span class="nome"&gt;Coca Cola&lt;em&gt;Alla spina&lt;/em&gt;&lt;/span&gt;</v>
      </c>
    </row>
    <row r="419" customFormat="false" ht="15" hidden="false" customHeight="false" outlineLevel="0" collapsed="false">
      <c r="A419" s="41" t="s">
        <v>403</v>
      </c>
    </row>
    <row r="420" customFormat="false" ht="15" hidden="false" customHeight="false" outlineLevel="0" collapsed="false">
      <c r="A420" s="41" t="s">
        <v>409</v>
      </c>
    </row>
    <row r="421" customFormat="false" ht="15" hidden="false" customHeight="false" outlineLevel="0" collapsed="false">
      <c r="A421" s="44" t="str">
        <f aca="false">"          &lt;span class=""formato""&gt;&lt;small&gt;0,2 L&lt;/small&gt;&lt;span class=""prezzo""&gt;"&amp;INT('Prodotti Finiti'!$B$13)&amp;","&amp;RIGHT("0"&amp;ROUND(MOD('Prodotti Finiti'!$B$13,1)*100,0),2)&amp;"&lt;/span&gt;&lt;/span&gt;"</f>
        <v>          &lt;span class="formato"&gt;&lt;small&gt;0,2 L&lt;/small&gt;&lt;span class="prezzo"&gt;2,50&lt;/span&gt;&lt;/span&gt;</v>
      </c>
    </row>
    <row r="422" customFormat="false" ht="15" hidden="false" customHeight="false" outlineLevel="0" collapsed="false">
      <c r="A422" s="44" t="str">
        <f aca="false">"          &lt;span class=""formato""&gt;&lt;small&gt;0,4 L&lt;/small&gt;&lt;span class=""prezzo""&gt;"&amp;INT('Prodotti Finiti'!$B$14)&amp;","&amp;RIGHT("0"&amp;ROUND(MOD('Prodotti Finiti'!$B$14,1)*100,0),2)&amp;"&lt;/span&gt;&lt;/span&gt;"</f>
        <v>          &lt;span class="formato"&gt;&lt;small&gt;0,4 L&lt;/small&gt;&lt;span class="prezzo"&gt;4,00&lt;/span&gt;&lt;/span&gt;</v>
      </c>
    </row>
    <row r="423" customFormat="false" ht="15" hidden="false" customHeight="false" outlineLevel="0" collapsed="false">
      <c r="A423" s="41" t="s">
        <v>410</v>
      </c>
    </row>
    <row r="424" customFormat="false" ht="15" hidden="false" customHeight="false" outlineLevel="0" collapsed="false">
      <c r="A424" s="41" t="s">
        <v>404</v>
      </c>
    </row>
    <row r="425" customFormat="false" ht="15" hidden="false" customHeight="false" outlineLevel="0" collapsed="false">
      <c r="A425" s="41" t="s">
        <v>402</v>
      </c>
    </row>
    <row r="426" customFormat="false" ht="15" hidden="false" customHeight="false" outlineLevel="0" collapsed="false">
      <c r="A426" s="43" t="str">
        <f aca="false">"        &lt;span class=""nome""&gt;"&amp;'Prodotti Finiti'!$V$23&amp;IF('Prodotti Finiti'!$W$23="","","&lt;em&gt;"&amp;'Prodotti Finiti'!$W$23&amp;"&lt;/em&gt;")&amp;"&lt;/span&gt;"</f>
        <v>        &lt;span class="nome"&gt;Vino bianco frizzante&lt;em&gt;Alla spina&lt;/em&gt;&lt;/span&gt;</v>
      </c>
    </row>
    <row r="427" customFormat="false" ht="15" hidden="false" customHeight="false" outlineLevel="0" collapsed="false">
      <c r="A427" s="41" t="s">
        <v>403</v>
      </c>
    </row>
    <row r="428" customFormat="false" ht="15" hidden="false" customHeight="false" outlineLevel="0" collapsed="false">
      <c r="A428" s="41" t="s">
        <v>409</v>
      </c>
    </row>
    <row r="429" customFormat="false" ht="15" hidden="false" customHeight="false" outlineLevel="0" collapsed="false">
      <c r="A429" s="44" t="str">
        <f aca="false">"          &lt;span class=""formato""&gt;&lt;small&gt;0,2 L&lt;/small&gt;&lt;span class=""prezzo""&gt;"&amp;INT('Prodotti Finiti'!$B$23)&amp;","&amp;RIGHT("0"&amp;ROUND(MOD('Prodotti Finiti'!$B$23,1)*100,0),2)&amp;"&lt;/span&gt;&lt;/span&gt;"</f>
        <v>          &lt;span class="formato"&gt;&lt;small&gt;0,2 L&lt;/small&gt;&lt;span class="prezzo"&gt;2,50&lt;/span&gt;&lt;/span&gt;</v>
      </c>
    </row>
    <row r="430" customFormat="false" ht="15" hidden="false" customHeight="false" outlineLevel="0" collapsed="false">
      <c r="A430" s="41" t="s">
        <v>410</v>
      </c>
    </row>
    <row r="431" customFormat="false" ht="15" hidden="false" customHeight="false" outlineLevel="0" collapsed="false">
      <c r="A431" s="41" t="s">
        <v>404</v>
      </c>
    </row>
    <row r="432" customFormat="false" ht="15" hidden="false" customHeight="false" outlineLevel="0" collapsed="false">
      <c r="A432" s="41" t="s">
        <v>402</v>
      </c>
    </row>
    <row r="433" customFormat="false" ht="15" hidden="false" customHeight="false" outlineLevel="0" collapsed="false">
      <c r="A433" s="43" t="str">
        <f aca="false">"        &lt;span class=""nome""&gt;"&amp;'Prodotti Finiti'!$V$24&amp;IF('Prodotti Finiti'!$W$24="","","&lt;em&gt;"&amp;'Prodotti Finiti'!$W$24&amp;"&lt;/em&gt;")&amp;"&lt;/span&gt;"</f>
        <v>        &lt;span class="nome"&gt;Spritz Aperol&lt;/span&gt;</v>
      </c>
    </row>
    <row r="434" customFormat="false" ht="15" hidden="false" customHeight="false" outlineLevel="0" collapsed="false">
      <c r="A434" s="41" t="s">
        <v>403</v>
      </c>
    </row>
    <row r="435" customFormat="false" ht="15" hidden="false" customHeight="false" outlineLevel="0" collapsed="false">
      <c r="A435" s="44" t="str">
        <f aca="false">"        &lt;span class=""prezzo""&gt;"&amp;INT('Prodotti Finiti'!$B$24)&amp;","&amp;RIGHT("0"&amp;ROUND(MOD('Prodotti Finiti'!$B$24,1)*100,0),2)&amp;"&lt;/span&gt;"</f>
        <v>        &lt;span class="prezzo"&gt;3,50&lt;/span&gt;</v>
      </c>
    </row>
    <row r="436" customFormat="false" ht="15" hidden="false" customHeight="false" outlineLevel="0" collapsed="false">
      <c r="A436" s="41" t="s">
        <v>404</v>
      </c>
    </row>
    <row r="437" customFormat="false" ht="15" hidden="false" customHeight="false" outlineLevel="0" collapsed="false">
      <c r="A437" s="41" t="s">
        <v>402</v>
      </c>
    </row>
    <row r="438" customFormat="false" ht="15" hidden="false" customHeight="false" outlineLevel="0" collapsed="false">
      <c r="A438" s="43" t="str">
        <f aca="false">"        &lt;span class=""nome""&gt;"&amp;'Prodotti Finiti'!$V$25&amp;IF('Prodotti Finiti'!$W$25="","","&lt;em&gt;"&amp;'Prodotti Finiti'!$W$25&amp;"&lt;/em&gt;")&amp;"&lt;/span&gt;"</f>
        <v>        &lt;span class="nome"&gt;Spritz Campari&lt;/span&gt;</v>
      </c>
    </row>
    <row r="439" customFormat="false" ht="15" hidden="false" customHeight="false" outlineLevel="0" collapsed="false">
      <c r="A439" s="41" t="s">
        <v>403</v>
      </c>
    </row>
    <row r="440" customFormat="false" ht="15" hidden="false" customHeight="false" outlineLevel="0" collapsed="false">
      <c r="A440" s="44" t="str">
        <f aca="false">"        &lt;span class=""prezzo""&gt;"&amp;INT('Prodotti Finiti'!$B$25)&amp;","&amp;RIGHT("0"&amp;ROUND(MOD('Prodotti Finiti'!$B$25,1)*100,0),2)&amp;"&lt;/span&gt;"</f>
        <v>        &lt;span class="prezzo"&gt;3,50&lt;/span&gt;</v>
      </c>
    </row>
    <row r="441" customFormat="false" ht="15" hidden="false" customHeight="false" outlineLevel="0" collapsed="false">
      <c r="A441" s="41" t="s">
        <v>404</v>
      </c>
    </row>
    <row r="442" customFormat="false" ht="15" hidden="false" customHeight="false" outlineLevel="0" collapsed="false">
      <c r="A442" s="41" t="s">
        <v>402</v>
      </c>
    </row>
    <row r="443" customFormat="false" ht="15" hidden="false" customHeight="false" outlineLevel="0" collapsed="false">
      <c r="A443" s="43" t="str">
        <f aca="false">"        &lt;span class=""nome""&gt;"&amp;'Prodotti Finiti'!$V$15&amp;IF('Prodotti Finiti'!$W$15="","","&lt;em&gt;"&amp;'Prodotti Finiti'!$W$15&amp;"&lt;/em&gt;")&amp;"&lt;/span&gt;"</f>
        <v>        &lt;span class="nome"&gt;Sprite&lt;em&gt;Lattina 0,33 L&lt;/em&gt;&lt;/span&gt;</v>
      </c>
    </row>
    <row r="444" customFormat="false" ht="15" hidden="false" customHeight="false" outlineLevel="0" collapsed="false">
      <c r="A444" s="41" t="s">
        <v>403</v>
      </c>
    </row>
    <row r="445" customFormat="false" ht="15" hidden="false" customHeight="false" outlineLevel="0" collapsed="false">
      <c r="A445" s="44" t="str">
        <f aca="false">"        &lt;span class=""prezzo""&gt;"&amp;INT('Prodotti Finiti'!$B$15)&amp;","&amp;RIGHT("0"&amp;ROUND(MOD('Prodotti Finiti'!$B$15,1)*100,0),2)&amp;"&lt;/span&gt;"</f>
        <v>        &lt;span class="prezzo"&gt;2,00&lt;/span&gt;</v>
      </c>
    </row>
    <row r="446" customFormat="false" ht="15" hidden="false" customHeight="false" outlineLevel="0" collapsed="false">
      <c r="A446" s="41" t="s">
        <v>404</v>
      </c>
    </row>
    <row r="447" customFormat="false" ht="15" hidden="false" customHeight="false" outlineLevel="0" collapsed="false">
      <c r="A447" s="41" t="s">
        <v>402</v>
      </c>
    </row>
    <row r="448" customFormat="false" ht="15" hidden="false" customHeight="false" outlineLevel="0" collapsed="false">
      <c r="A448" s="43" t="str">
        <f aca="false">"        &lt;span class=""nome""&gt;"&amp;'Prodotti Finiti'!$V$16&amp;IF('Prodotti Finiti'!$W$16="","","&lt;em&gt;"&amp;'Prodotti Finiti'!$W$16&amp;"&lt;/em&gt;")&amp;"&lt;/span&gt;"</f>
        <v>        &lt;span class="nome"&gt;Coca Cola senza caffeina&lt;em&gt;Lattina 0,33 L&lt;/em&gt;&lt;/span&gt;</v>
      </c>
    </row>
    <row r="449" customFormat="false" ht="15" hidden="false" customHeight="false" outlineLevel="0" collapsed="false">
      <c r="A449" s="41" t="s">
        <v>403</v>
      </c>
    </row>
    <row r="450" customFormat="false" ht="15" hidden="false" customHeight="false" outlineLevel="0" collapsed="false">
      <c r="A450" s="44" t="str">
        <f aca="false">"        &lt;span class=""prezzo""&gt;"&amp;INT('Prodotti Finiti'!$B$16)&amp;","&amp;RIGHT("0"&amp;ROUND(MOD('Prodotti Finiti'!$B$16,1)*100,0),2)&amp;"&lt;/span&gt;"</f>
        <v>        &lt;span class="prezzo"&gt;2,00&lt;/span&gt;</v>
      </c>
    </row>
    <row r="451" customFormat="false" ht="15" hidden="false" customHeight="false" outlineLevel="0" collapsed="false">
      <c r="A451" s="41" t="s">
        <v>404</v>
      </c>
    </row>
    <row r="452" customFormat="false" ht="15" hidden="false" customHeight="false" outlineLevel="0" collapsed="false">
      <c r="A452" s="41" t="s">
        <v>402</v>
      </c>
    </row>
    <row r="453" customFormat="false" ht="15" hidden="false" customHeight="false" outlineLevel="0" collapsed="false">
      <c r="A453" s="43" t="str">
        <f aca="false">"        &lt;span class=""nome""&gt;"&amp;'Prodotti Finiti'!$V$17&amp;IF('Prodotti Finiti'!$W$17="","","&lt;em&gt;"&amp;'Prodotti Finiti'!$W$17&amp;"&lt;/em&gt;")&amp;"&lt;/span&gt;"</f>
        <v>        &lt;span class="nome"&gt;Tè al limone&lt;em&gt;Lattina 0,33 L&lt;/em&gt;&lt;/span&gt;</v>
      </c>
    </row>
    <row r="454" customFormat="false" ht="15" hidden="false" customHeight="false" outlineLevel="0" collapsed="false">
      <c r="A454" s="41" t="s">
        <v>403</v>
      </c>
    </row>
    <row r="455" customFormat="false" ht="15" hidden="false" customHeight="false" outlineLevel="0" collapsed="false">
      <c r="A455" s="44" t="str">
        <f aca="false">"        &lt;span class=""prezzo""&gt;"&amp;INT('Prodotti Finiti'!$B$17)&amp;","&amp;RIGHT("0"&amp;ROUND(MOD('Prodotti Finiti'!$B$17,1)*100,0),2)&amp;"&lt;/span&gt;"</f>
        <v>        &lt;span class="prezzo"&gt;2,00&lt;/span&gt;</v>
      </c>
    </row>
    <row r="456" customFormat="false" ht="15" hidden="false" customHeight="false" outlineLevel="0" collapsed="false">
      <c r="A456" s="41" t="s">
        <v>404</v>
      </c>
    </row>
    <row r="457" customFormat="false" ht="15" hidden="false" customHeight="false" outlineLevel="0" collapsed="false">
      <c r="A457" s="41" t="s">
        <v>402</v>
      </c>
    </row>
    <row r="458" customFormat="false" ht="15" hidden="false" customHeight="false" outlineLevel="0" collapsed="false">
      <c r="A458" s="43" t="str">
        <f aca="false">"        &lt;span class=""nome""&gt;"&amp;'Prodotti Finiti'!$V$18&amp;IF('Prodotti Finiti'!$W$18="","","&lt;em&gt;"&amp;'Prodotti Finiti'!$W$18&amp;"&lt;/em&gt;")&amp;"&lt;/span&gt;"</f>
        <v>        &lt;span class="nome"&gt;Tè alla pesca&lt;em&gt;Lattina 0,33 L&lt;/em&gt;&lt;/span&gt;</v>
      </c>
    </row>
    <row r="459" customFormat="false" ht="15" hidden="false" customHeight="false" outlineLevel="0" collapsed="false">
      <c r="A459" s="41" t="s">
        <v>403</v>
      </c>
    </row>
    <row r="460" customFormat="false" ht="15" hidden="false" customHeight="false" outlineLevel="0" collapsed="false">
      <c r="A460" s="44" t="str">
        <f aca="false">"        &lt;span class=""prezzo""&gt;"&amp;INT('Prodotti Finiti'!$B$18)&amp;","&amp;RIGHT("0"&amp;ROUND(MOD('Prodotti Finiti'!$B$18,1)*100,0),2)&amp;"&lt;/span&gt;"</f>
        <v>        &lt;span class="prezzo"&gt;2,00&lt;/span&gt;</v>
      </c>
    </row>
    <row r="461" customFormat="false" ht="15" hidden="false" customHeight="false" outlineLevel="0" collapsed="false">
      <c r="A461" s="41" t="s">
        <v>404</v>
      </c>
    </row>
    <row r="462" customFormat="false" ht="15" hidden="false" customHeight="false" outlineLevel="0" collapsed="false">
      <c r="A462" s="41" t="s">
        <v>402</v>
      </c>
    </row>
    <row r="463" customFormat="false" ht="15" hidden="false" customHeight="false" outlineLevel="0" collapsed="false">
      <c r="A463" s="43" t="str">
        <f aca="false">"        &lt;span class=""nome""&gt;"&amp;'Prodotti Finiti'!$V$11&amp;IF('Prodotti Finiti'!$W$11="","","&lt;em&gt;"&amp;'Prodotti Finiti'!$W$11&amp;"&lt;/em&gt;")&amp;"&lt;/span&gt;"</f>
        <v>        &lt;span class="nome"&gt;Acqua naturale&lt;em&gt;Bottiglia 0,5 L&lt;/em&gt;&lt;/span&gt;</v>
      </c>
    </row>
    <row r="464" customFormat="false" ht="15" hidden="false" customHeight="false" outlineLevel="0" collapsed="false">
      <c r="A464" s="41" t="s">
        <v>403</v>
      </c>
    </row>
    <row r="465" customFormat="false" ht="15" hidden="false" customHeight="false" outlineLevel="0" collapsed="false">
      <c r="A465" s="44" t="str">
        <f aca="false">"        &lt;span class=""prezzo""&gt;"&amp;INT('Prodotti Finiti'!$B$11)&amp;","&amp;RIGHT("0"&amp;ROUND(MOD('Prodotti Finiti'!$B$11,1)*100,0),2)&amp;"&lt;/span&gt;"</f>
        <v>        &lt;span class="prezzo"&gt;1,00&lt;/span&gt;</v>
      </c>
    </row>
    <row r="466" customFormat="false" ht="15" hidden="false" customHeight="false" outlineLevel="0" collapsed="false">
      <c r="A466" s="41" t="s">
        <v>404</v>
      </c>
    </row>
    <row r="467" customFormat="false" ht="15" hidden="false" customHeight="false" outlineLevel="0" collapsed="false">
      <c r="A467" s="41" t="s">
        <v>402</v>
      </c>
    </row>
    <row r="468" customFormat="false" ht="15" hidden="false" customHeight="false" outlineLevel="0" collapsed="false">
      <c r="A468" s="43" t="str">
        <f aca="false">"        &lt;span class=""nome""&gt;"&amp;'Prodotti Finiti'!$V$12&amp;IF('Prodotti Finiti'!$W$12="","","&lt;em&gt;"&amp;'Prodotti Finiti'!$W$12&amp;"&lt;/em&gt;")&amp;"&lt;/span&gt;"</f>
        <v>        &lt;span class="nome"&gt;Acqua frizzante&lt;em&gt;Bottiglia 0,5 L&lt;/em&gt;&lt;/span&gt;</v>
      </c>
    </row>
    <row r="469" customFormat="false" ht="15" hidden="false" customHeight="false" outlineLevel="0" collapsed="false">
      <c r="A469" s="41" t="s">
        <v>403</v>
      </c>
    </row>
    <row r="470" customFormat="false" ht="15" hidden="false" customHeight="false" outlineLevel="0" collapsed="false">
      <c r="A470" s="44" t="str">
        <f aca="false">"        &lt;span class=""prezzo""&gt;"&amp;INT('Prodotti Finiti'!$B$12)&amp;","&amp;RIGHT("0"&amp;ROUND(MOD('Prodotti Finiti'!$B$12,1)*100,0),2)&amp;"&lt;/span&gt;"</f>
        <v>        &lt;span class="prezzo"&gt;1,00&lt;/span&gt;</v>
      </c>
    </row>
    <row r="471" customFormat="false" ht="15" hidden="false" customHeight="false" outlineLevel="0" collapsed="false">
      <c r="A471" s="41" t="s">
        <v>404</v>
      </c>
    </row>
    <row r="472" customFormat="false" ht="15" hidden="false" customHeight="false" outlineLevel="0" collapsed="false">
      <c r="A472" s="41" t="s">
        <v>405</v>
      </c>
    </row>
    <row r="473" customFormat="false" ht="15" hidden="false" customHeight="false" outlineLevel="0" collapsed="false">
      <c r="A473" s="41" t="s">
        <v>406</v>
      </c>
    </row>
    <row r="474" customFormat="false" ht="15" hidden="false" customHeight="false" outlineLevel="0" collapsed="false">
      <c r="A474" s="41"/>
    </row>
    <row r="475" customFormat="false" ht="15" hidden="false" customHeight="false" outlineLevel="0" collapsed="false">
      <c r="A475" s="41" t="s">
        <v>411</v>
      </c>
    </row>
    <row r="476" customFormat="false" ht="15" hidden="false" customHeight="false" outlineLevel="0" collapsed="false">
      <c r="A476" s="41"/>
    </row>
    <row r="477" customFormat="false" ht="15" hidden="false" customHeight="false" outlineLevel="0" collapsed="false">
      <c r="A477" s="41" t="s">
        <v>412</v>
      </c>
    </row>
    <row r="478" customFormat="false" ht="15" hidden="false" customHeight="false" outlineLevel="0" collapsed="false">
      <c r="A478" s="41" t="s">
        <v>413</v>
      </c>
    </row>
    <row r="479" customFormat="false" ht="15" hidden="false" customHeight="false" outlineLevel="0" collapsed="false">
      <c r="A479" s="41" t="s">
        <v>414</v>
      </c>
    </row>
    <row r="480" customFormat="false" ht="15" hidden="false" customHeight="false" outlineLevel="0" collapsed="false">
      <c r="A480" s="41" t="s">
        <v>391</v>
      </c>
    </row>
    <row r="481" customFormat="false" ht="15" hidden="false" customHeight="false" outlineLevel="0" collapsed="false">
      <c r="A481" s="41"/>
    </row>
    <row r="482" customFormat="false" ht="15" hidden="false" customHeight="false" outlineLevel="0" collapsed="false">
      <c r="A482" s="41" t="s">
        <v>415</v>
      </c>
    </row>
    <row r="483" customFormat="false" ht="15" hidden="false" customHeight="false" outlineLevel="0" collapsed="false">
      <c r="A483" s="41" t="s">
        <v>416</v>
      </c>
    </row>
    <row r="484" customFormat="false" ht="15" hidden="false" customHeight="false" outlineLevel="0" collapsed="false">
      <c r="A484" s="41" t="s">
        <v>417</v>
      </c>
    </row>
    <row r="485" customFormat="false" ht="15" hidden="false" customHeight="false" outlineLevel="0" collapsed="false">
      <c r="A485" s="41" t="s">
        <v>306</v>
      </c>
    </row>
    <row r="486" customFormat="false" ht="15" hidden="false" customHeight="false" outlineLevel="0" collapsed="false">
      <c r="A486" s="41" t="s">
        <v>418</v>
      </c>
    </row>
    <row r="487" customFormat="false" ht="15" hidden="false" customHeight="false" outlineLevel="0" collapsed="false">
      <c r="A487" s="41" t="s">
        <v>419</v>
      </c>
    </row>
    <row r="488" customFormat="false" ht="15" hidden="false" customHeight="false" outlineLevel="0" collapsed="false">
      <c r="A488" s="41" t="s">
        <v>420</v>
      </c>
    </row>
    <row r="489" customFormat="false" ht="15" hidden="false" customHeight="false" outlineLevel="0" collapsed="false">
      <c r="A489" s="41" t="s">
        <v>306</v>
      </c>
    </row>
    <row r="490" customFormat="false" ht="15" hidden="false" customHeight="false" outlineLevel="0" collapsed="false">
      <c r="A490" s="41" t="s">
        <v>421</v>
      </c>
    </row>
    <row r="491" customFormat="false" ht="15" hidden="false" customHeight="false" outlineLevel="0" collapsed="false">
      <c r="A491" s="41" t="s">
        <v>422</v>
      </c>
    </row>
    <row r="492" customFormat="false" ht="15" hidden="false" customHeight="false" outlineLevel="0" collapsed="false">
      <c r="A492" s="41" t="s">
        <v>423</v>
      </c>
    </row>
    <row r="493" customFormat="false" ht="15" hidden="false" customHeight="false" outlineLevel="0" collapsed="false">
      <c r="A493" s="41" t="s">
        <v>424</v>
      </c>
    </row>
    <row r="494" customFormat="false" ht="15" hidden="false" customHeight="false" outlineLevel="0" collapsed="false">
      <c r="A494" s="41"/>
    </row>
    <row r="495" customFormat="false" ht="15" hidden="false" customHeight="false" outlineLevel="0" collapsed="false">
      <c r="A495" s="41"/>
    </row>
    <row r="496" customFormat="false" ht="15" hidden="false" customHeight="false" outlineLevel="0" collapsed="false">
      <c r="A496" s="41"/>
    </row>
    <row r="497" customFormat="false" ht="15" hidden="false" customHeight="false" outlineLevel="0" collapsed="false">
      <c r="A497" s="41" t="s">
        <v>425</v>
      </c>
    </row>
    <row r="498" customFormat="false" ht="15" hidden="false" customHeight="false" outlineLevel="0" collapsed="false">
      <c r="A498" s="41" t="s">
        <v>426</v>
      </c>
    </row>
    <row r="499" customFormat="false" ht="15" hidden="false" customHeight="false" outlineLevel="0" collapsed="false">
      <c r="A499" s="41" t="s">
        <v>427</v>
      </c>
    </row>
    <row r="500" customFormat="false" ht="15" hidden="false" customHeight="false" outlineLevel="0" collapsed="false">
      <c r="A500" s="41" t="s">
        <v>428</v>
      </c>
    </row>
    <row r="501" customFormat="false" ht="15" hidden="false" customHeight="false" outlineLevel="0" collapsed="false">
      <c r="A501" s="41" t="s">
        <v>429</v>
      </c>
    </row>
    <row r="502" customFormat="false" ht="15" hidden="false" customHeight="false" outlineLevel="0" collapsed="false">
      <c r="A502" s="41"/>
    </row>
    <row r="503" customFormat="false" ht="15" hidden="false" customHeight="false" outlineLevel="0" collapsed="false">
      <c r="A503" s="41" t="s">
        <v>430</v>
      </c>
    </row>
    <row r="504" customFormat="false" ht="15" hidden="false" customHeight="false" outlineLevel="0" collapsed="false">
      <c r="A504" s="42" t="str">
        <f aca="false">"  &lt;p&gt;"&amp;LEFT('Testi Menu'!$B$20,FIND(".",'Testi Menu'!$B$20))&amp;" &lt;strong&gt;"&amp;TRIM(MID('Testi Menu'!$B$20,FIND(".",'Testi Menu'!$B$20)+1,999))&amp;"&lt;/strong&gt;&lt;/p&gt;"</f>
        <v>  &lt;p&gt;Prezzi in euro. &lt;strong&gt;Bicchieri e stoviglie compostabili.&lt;/strong&gt;&lt;/p&gt;</v>
      </c>
    </row>
    <row r="505" customFormat="false" ht="15" hidden="false" customHeight="false" outlineLevel="0" collapsed="false">
      <c r="A505" s="42" t="str">
        <f aca="false">"  &lt;p&gt;"&amp;'Testi Menu'!$B$21&amp;"&lt;/p&gt;"</f>
        <v>  &lt;p&gt;Grazie per fare la differenziata negli appositi contenitori.&lt;/p&gt;</v>
      </c>
    </row>
    <row r="506" customFormat="false" ht="15" hidden="false" customHeight="false" outlineLevel="0" collapsed="false">
      <c r="A506" s="41" t="s">
        <v>431</v>
      </c>
    </row>
    <row r="507" customFormat="false" ht="15" hidden="false" customHeight="false" outlineLevel="0" collapsed="false">
      <c r="A507" s="41"/>
    </row>
    <row r="508" customFormat="false" ht="15" hidden="false" customHeight="false" outlineLevel="0" collapsed="false">
      <c r="A508" s="41" t="s">
        <v>432</v>
      </c>
    </row>
    <row r="509" customFormat="false" ht="15" hidden="false" customHeight="false" outlineLevel="0" collapsed="false">
      <c r="A509" s="41" t="s">
        <v>433</v>
      </c>
    </row>
    <row r="510" customFormat="false" ht="15" hidden="false" customHeight="false" outlineLevel="0" collapsed="false">
      <c r="A510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2"/>
    <col collapsed="false" customWidth="true" hidden="false" outlineLevel="0" max="3" min="3" style="1" width="48"/>
  </cols>
  <sheetData>
    <row r="1" customFormat="false" ht="15" hidden="false" customHeight="true" outlineLevel="0" collapsed="false">
      <c r="A1" s="45" t="s">
        <v>434</v>
      </c>
      <c r="B1" s="27"/>
      <c r="C1" s="27"/>
    </row>
    <row r="2" customFormat="false" ht="15" hidden="false" customHeight="true" outlineLevel="0" collapsed="false">
      <c r="A2" s="30" t="s">
        <v>435</v>
      </c>
      <c r="B2" s="30" t="s">
        <v>436</v>
      </c>
      <c r="C2" s="30" t="s">
        <v>437</v>
      </c>
    </row>
    <row r="3" customFormat="false" ht="15" hidden="false" customHeight="true" outlineLevel="0" collapsed="false">
      <c r="A3" s="46" t="s">
        <v>438</v>
      </c>
      <c r="B3" s="47"/>
      <c r="C3" s="47"/>
    </row>
    <row r="4" customFormat="false" ht="15" hidden="false" customHeight="true" outlineLevel="0" collapsed="false">
      <c r="A4" s="3" t="s">
        <v>439</v>
      </c>
      <c r="B4" s="9" t="s">
        <v>440</v>
      </c>
      <c r="C4" s="48" t="s">
        <v>441</v>
      </c>
    </row>
    <row r="5" customFormat="false" ht="15" hidden="false" customHeight="true" outlineLevel="0" collapsed="false">
      <c r="A5" s="3" t="s">
        <v>442</v>
      </c>
      <c r="B5" s="9" t="s">
        <v>443</v>
      </c>
      <c r="C5" s="48"/>
    </row>
    <row r="6" customFormat="false" ht="15" hidden="false" customHeight="true" outlineLevel="0" collapsed="false">
      <c r="A6" s="3" t="s">
        <v>444</v>
      </c>
      <c r="B6" s="9" t="s">
        <v>445</v>
      </c>
      <c r="C6" s="48"/>
    </row>
    <row r="7" customFormat="false" ht="15" hidden="false" customHeight="true" outlineLevel="0" collapsed="false">
      <c r="A7" s="3" t="s">
        <v>446</v>
      </c>
      <c r="B7" s="9" t="s">
        <v>447</v>
      </c>
      <c r="C7" s="48" t="s">
        <v>448</v>
      </c>
    </row>
    <row r="8" customFormat="false" ht="21.75" hidden="false" customHeight="true" outlineLevel="0" collapsed="false">
      <c r="A8" s="3" t="s">
        <v>449</v>
      </c>
      <c r="B8" s="9" t="s">
        <v>450</v>
      </c>
      <c r="C8" s="48" t="s">
        <v>451</v>
      </c>
    </row>
    <row r="9" customFormat="false" ht="15" hidden="false" customHeight="true" outlineLevel="0" collapsed="false">
      <c r="A9" s="3" t="s">
        <v>452</v>
      </c>
      <c r="B9" s="9" t="s">
        <v>453</v>
      </c>
      <c r="C9" s="48"/>
    </row>
    <row r="10" customFormat="false" ht="15" hidden="false" customHeight="true" outlineLevel="0" collapsed="false">
      <c r="A10" s="3" t="s">
        <v>454</v>
      </c>
      <c r="B10" s="9" t="s">
        <v>455</v>
      </c>
      <c r="C10" s="48" t="s">
        <v>456</v>
      </c>
    </row>
    <row r="11" customFormat="false" ht="15" hidden="false" customHeight="true" outlineLevel="0" collapsed="false">
      <c r="A11" s="3" t="s">
        <v>457</v>
      </c>
      <c r="B11" s="9" t="s">
        <v>458</v>
      </c>
      <c r="C11" s="48" t="s">
        <v>456</v>
      </c>
    </row>
    <row r="12" customFormat="false" ht="15" hidden="false" customHeight="true" outlineLevel="0" collapsed="false">
      <c r="A12" s="46" t="s">
        <v>459</v>
      </c>
      <c r="B12" s="47"/>
      <c r="C12" s="47"/>
    </row>
    <row r="13" customFormat="false" ht="15" hidden="false" customHeight="true" outlineLevel="0" collapsed="false">
      <c r="A13" s="3" t="s">
        <v>460</v>
      </c>
      <c r="B13" s="9" t="s">
        <v>461</v>
      </c>
      <c r="C13" s="48" t="s">
        <v>462</v>
      </c>
    </row>
    <row r="14" customFormat="false" ht="15" hidden="false" customHeight="true" outlineLevel="0" collapsed="false">
      <c r="A14" s="3" t="s">
        <v>463</v>
      </c>
      <c r="B14" s="9" t="s">
        <v>464</v>
      </c>
      <c r="C14" s="48"/>
    </row>
    <row r="15" customFormat="false" ht="15" hidden="false" customHeight="true" outlineLevel="0" collapsed="false">
      <c r="A15" s="3" t="s">
        <v>465</v>
      </c>
      <c r="B15" s="9" t="s">
        <v>466</v>
      </c>
      <c r="C15" s="48"/>
    </row>
    <row r="16" customFormat="false" ht="15" hidden="false" customHeight="true" outlineLevel="0" collapsed="false">
      <c r="A16" s="3" t="s">
        <v>467</v>
      </c>
      <c r="B16" s="9" t="s">
        <v>468</v>
      </c>
      <c r="C16" s="48"/>
    </row>
    <row r="17" customFormat="false" ht="15" hidden="false" customHeight="true" outlineLevel="0" collapsed="false">
      <c r="A17" s="3" t="s">
        <v>469</v>
      </c>
      <c r="B17" s="9" t="s">
        <v>470</v>
      </c>
      <c r="C17" s="48"/>
    </row>
    <row r="18" customFormat="false" ht="15" hidden="false" customHeight="true" outlineLevel="0" collapsed="false">
      <c r="A18" s="3" t="s">
        <v>471</v>
      </c>
      <c r="B18" s="9" t="s">
        <v>472</v>
      </c>
      <c r="C18" s="48"/>
    </row>
    <row r="19" customFormat="false" ht="15" hidden="false" customHeight="true" outlineLevel="0" collapsed="false">
      <c r="A19" s="46" t="s">
        <v>473</v>
      </c>
      <c r="B19" s="47"/>
      <c r="C19" s="47"/>
    </row>
    <row r="20" customFormat="false" ht="15" hidden="false" customHeight="true" outlineLevel="0" collapsed="false">
      <c r="A20" s="3" t="s">
        <v>474</v>
      </c>
      <c r="B20" s="9" t="s">
        <v>475</v>
      </c>
      <c r="C20" s="48" t="s">
        <v>476</v>
      </c>
    </row>
    <row r="21" customFormat="false" ht="15" hidden="false" customHeight="true" outlineLevel="0" collapsed="false">
      <c r="A21" s="3" t="s">
        <v>477</v>
      </c>
      <c r="B21" s="9" t="s">
        <v>478</v>
      </c>
      <c r="C21" s="48"/>
    </row>
    <row r="23" customFormat="false" ht="15" hidden="false" customHeight="true" outlineLevel="0" collapsed="false">
      <c r="A23" s="17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.75" hidden="false" customHeight="true" outlineLevel="0" collapsed="false">
      <c r="A1" s="49" t="s">
        <v>480</v>
      </c>
    </row>
    <row r="2" customFormat="false" ht="15" hidden="false" customHeight="true" outlineLevel="0" collapsed="false">
      <c r="A2" s="50"/>
    </row>
    <row r="3" customFormat="false" ht="15" hidden="false" customHeight="true" outlineLevel="0" collapsed="false">
      <c r="A3" s="50" t="s">
        <v>481</v>
      </c>
    </row>
    <row r="4" customFormat="false" ht="15" hidden="false" customHeight="true" outlineLevel="0" collapsed="false">
      <c r="A4" s="50" t="s">
        <v>482</v>
      </c>
    </row>
    <row r="5" customFormat="false" ht="15" hidden="false" customHeight="true" outlineLevel="0" collapsed="false">
      <c r="A5" s="50" t="s">
        <v>483</v>
      </c>
    </row>
    <row r="6" customFormat="false" ht="15" hidden="false" customHeight="true" outlineLevel="0" collapsed="false">
      <c r="A6" s="50"/>
    </row>
    <row r="7" customFormat="false" ht="15" hidden="false" customHeight="true" outlineLevel="0" collapsed="false">
      <c r="A7" s="50" t="s">
        <v>484</v>
      </c>
    </row>
    <row r="8" customFormat="false" ht="15" hidden="false" customHeight="true" outlineLevel="0" collapsed="false">
      <c r="A8" s="50" t="s">
        <v>485</v>
      </c>
    </row>
    <row r="9" customFormat="false" ht="15" hidden="false" customHeight="true" outlineLevel="0" collapsed="false">
      <c r="A9" s="50" t="s">
        <v>486</v>
      </c>
    </row>
    <row r="10" customFormat="false" ht="15" hidden="false" customHeight="true" outlineLevel="0" collapsed="false">
      <c r="A10" s="50"/>
    </row>
    <row r="11" customFormat="false" ht="15" hidden="false" customHeight="true" outlineLevel="0" collapsed="false">
      <c r="A11" s="50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5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7" min="6" style="1" width="20"/>
    <col collapsed="false" customWidth="true" hidden="false" outlineLevel="0" max="8" min="8" style="1" width="16"/>
    <col collapsed="false" customWidth="true" hidden="false" outlineLevel="0" max="10" min="9" style="1" width="12"/>
    <col collapsed="false" customWidth="true" hidden="false" outlineLevel="0" max="11" min="11" style="1" width="22"/>
    <col collapsed="false" customWidth="true" hidden="false" outlineLevel="0" max="12" min="12" style="1" width="16"/>
    <col collapsed="false" customWidth="true" hidden="false" outlineLevel="0" max="13" min="13" style="1" width="12"/>
    <col collapsed="false" customWidth="true" hidden="false" outlineLevel="0" max="14" min="14" style="1" width="20"/>
  </cols>
  <sheetData>
    <row r="1" customFormat="false" ht="30" hidden="false" customHeight="true" outlineLevel="0" collapsed="false">
      <c r="A1" s="2" t="s">
        <v>488</v>
      </c>
      <c r="B1" s="2" t="s">
        <v>489</v>
      </c>
      <c r="C1" s="2" t="s">
        <v>490</v>
      </c>
      <c r="D1" s="2" t="s">
        <v>491</v>
      </c>
      <c r="E1" s="2" t="s">
        <v>492</v>
      </c>
      <c r="F1" s="2" t="s">
        <v>493</v>
      </c>
      <c r="G1" s="2" t="s">
        <v>494</v>
      </c>
      <c r="H1" s="2" t="s">
        <v>495</v>
      </c>
      <c r="I1" s="2" t="s">
        <v>496</v>
      </c>
      <c r="J1" s="51" t="s">
        <v>497</v>
      </c>
      <c r="K1" s="52" t="s">
        <v>498</v>
      </c>
      <c r="L1" s="2" t="s">
        <v>499</v>
      </c>
      <c r="M1" s="2" t="s">
        <v>500</v>
      </c>
      <c r="N1" s="2" t="s">
        <v>501</v>
      </c>
    </row>
    <row r="2" customFormat="false" ht="15" hidden="false" customHeight="true" outlineLevel="0" collapsed="false">
      <c r="A2" s="3" t="s">
        <v>502</v>
      </c>
      <c r="B2" s="3" t="s">
        <v>503</v>
      </c>
      <c r="C2" s="3" t="s">
        <v>504</v>
      </c>
      <c r="D2" s="18" t="n">
        <v>48</v>
      </c>
      <c r="E2" s="18" t="n">
        <v>1</v>
      </c>
      <c r="F2" s="53" t="n">
        <v>46.56</v>
      </c>
      <c r="G2" s="53" t="n">
        <f aca="false">IF($K$1="Totale riga",N2/E2,N2)</f>
        <v>56.8032</v>
      </c>
      <c r="H2" s="53" t="n">
        <f aca="false">G2/D2</f>
        <v>1.1834</v>
      </c>
      <c r="I2" s="3" t="s">
        <v>505</v>
      </c>
      <c r="J2" s="3" t="s">
        <v>506</v>
      </c>
      <c r="L2" s="3" t="s">
        <v>507</v>
      </c>
      <c r="M2" s="54" t="n">
        <f aca="false">IF(L2="Pane/Piadina",0.04,IF(OR(L2="Salumi",L2="Formaggio"),0.1,0.22))</f>
        <v>0.22</v>
      </c>
      <c r="N2" s="6" t="n">
        <f aca="false">F2*(1+M2)</f>
        <v>56.8032</v>
      </c>
    </row>
    <row r="3" customFormat="false" ht="15" hidden="false" customHeight="true" outlineLevel="0" collapsed="false">
      <c r="A3" s="3" t="s">
        <v>508</v>
      </c>
      <c r="B3" s="3" t="s">
        <v>509</v>
      </c>
      <c r="C3" s="3" t="s">
        <v>504</v>
      </c>
      <c r="D3" s="18" t="n">
        <v>2</v>
      </c>
      <c r="E3" s="18" t="n">
        <v>3</v>
      </c>
      <c r="F3" s="53" t="n">
        <v>47.1</v>
      </c>
      <c r="G3" s="53" t="n">
        <f aca="false">IF($K$1="Totale riga",N3/E3,N3)</f>
        <v>57.462</v>
      </c>
      <c r="H3" s="53" t="n">
        <f aca="false">G3/D3</f>
        <v>28.731</v>
      </c>
      <c r="I3" s="3" t="s">
        <v>505</v>
      </c>
      <c r="J3" s="3" t="s">
        <v>506</v>
      </c>
      <c r="L3" s="3" t="s">
        <v>507</v>
      </c>
      <c r="M3" s="54" t="n">
        <f aca="false">IF(L3="Pane/Piadina",0.04,IF(OR(L3="Salumi",L3="Formaggio"),0.1,0.22))</f>
        <v>0.22</v>
      </c>
      <c r="N3" s="6" t="n">
        <f aca="false">F3*(1+M3)</f>
        <v>57.462</v>
      </c>
    </row>
    <row r="4" customFormat="false" ht="15" hidden="false" customHeight="true" outlineLevel="0" collapsed="false">
      <c r="A4" s="3" t="s">
        <v>510</v>
      </c>
      <c r="B4" s="3" t="s">
        <v>511</v>
      </c>
      <c r="C4" s="3" t="s">
        <v>512</v>
      </c>
      <c r="D4" s="18" t="n">
        <v>12</v>
      </c>
      <c r="E4" s="18" t="n">
        <v>1</v>
      </c>
      <c r="F4" s="53" t="n">
        <v>9.84</v>
      </c>
      <c r="G4" s="53" t="n">
        <f aca="false">IF($K$1="Totale riga",N4/E4,N4)</f>
        <v>12.0048</v>
      </c>
      <c r="H4" s="53" t="n">
        <f aca="false">G4/D4</f>
        <v>1.0004</v>
      </c>
      <c r="I4" s="3" t="s">
        <v>505</v>
      </c>
      <c r="J4" s="3" t="s">
        <v>506</v>
      </c>
      <c r="L4" s="3" t="s">
        <v>507</v>
      </c>
      <c r="M4" s="54" t="n">
        <f aca="false">IF(L4="Pane/Piadina",0.04,IF(OR(L4="Salumi",L4="Formaggio"),0.1,0.22))</f>
        <v>0.22</v>
      </c>
      <c r="N4" s="6" t="n">
        <f aca="false">F4*(1+M4)</f>
        <v>12.0048</v>
      </c>
    </row>
    <row r="5" customFormat="false" ht="15" hidden="false" customHeight="true" outlineLevel="0" collapsed="false">
      <c r="A5" s="3" t="s">
        <v>513</v>
      </c>
      <c r="B5" s="3" t="s">
        <v>514</v>
      </c>
      <c r="C5" s="3" t="s">
        <v>504</v>
      </c>
      <c r="D5" s="18" t="n">
        <v>20</v>
      </c>
      <c r="E5" s="18" t="n">
        <v>1</v>
      </c>
      <c r="F5" s="53" t="n">
        <v>48.2</v>
      </c>
      <c r="G5" s="53" t="n">
        <f aca="false">IF($K$1="Totale riga",N5/E5,N5)</f>
        <v>58.804</v>
      </c>
      <c r="H5" s="53" t="n">
        <f aca="false">G5/D5</f>
        <v>2.9402</v>
      </c>
      <c r="I5" s="3" t="s">
        <v>505</v>
      </c>
      <c r="J5" s="3" t="s">
        <v>506</v>
      </c>
      <c r="L5" s="3" t="s">
        <v>507</v>
      </c>
      <c r="M5" s="54" t="n">
        <f aca="false">IF(L5="Pane/Piadina",0.04,IF(OR(L5="Salumi",L5="Formaggio"),0.1,0.22))</f>
        <v>0.22</v>
      </c>
      <c r="N5" s="6" t="n">
        <f aca="false">F5*(1+M5)</f>
        <v>58.804</v>
      </c>
    </row>
    <row r="6" customFormat="false" ht="15" hidden="false" customHeight="true" outlineLevel="0" collapsed="false">
      <c r="A6" s="3" t="s">
        <v>515</v>
      </c>
      <c r="B6" s="3" t="s">
        <v>516</v>
      </c>
      <c r="C6" s="3" t="s">
        <v>517</v>
      </c>
      <c r="D6" s="18" t="n">
        <v>1</v>
      </c>
      <c r="E6" s="18" t="n">
        <v>5</v>
      </c>
      <c r="F6" s="53" t="n">
        <v>3.25</v>
      </c>
      <c r="G6" s="53" t="n">
        <f aca="false">IF($K$1="Totale riga",N6/E6,N6)</f>
        <v>3.965</v>
      </c>
      <c r="H6" s="53" t="n">
        <f aca="false">G6/D6</f>
        <v>3.965</v>
      </c>
      <c r="I6" s="3" t="s">
        <v>505</v>
      </c>
      <c r="J6" s="3" t="s">
        <v>506</v>
      </c>
      <c r="L6" s="3" t="s">
        <v>507</v>
      </c>
      <c r="M6" s="54" t="n">
        <f aca="false">IF(L6="Pane/Piadina",0.04,IF(OR(L6="Salumi",L6="Formaggio"),0.1,0.22))</f>
        <v>0.22</v>
      </c>
      <c r="N6" s="6" t="n">
        <f aca="false">F6*(1+M6)</f>
        <v>3.965</v>
      </c>
    </row>
    <row r="7" customFormat="false" ht="15" hidden="false" customHeight="true" outlineLevel="0" collapsed="false">
      <c r="A7" s="3" t="s">
        <v>518</v>
      </c>
      <c r="B7" s="3" t="s">
        <v>519</v>
      </c>
      <c r="C7" s="3" t="s">
        <v>517</v>
      </c>
      <c r="D7" s="18" t="n">
        <v>1</v>
      </c>
      <c r="E7" s="18" t="n">
        <v>3</v>
      </c>
      <c r="F7" s="53" t="n">
        <v>10.05</v>
      </c>
      <c r="G7" s="53" t="n">
        <f aca="false">IF($K$1="Totale riga",N7/E7,N7)</f>
        <v>12.261</v>
      </c>
      <c r="H7" s="53" t="n">
        <f aca="false">G7/D7</f>
        <v>12.261</v>
      </c>
      <c r="I7" s="3" t="s">
        <v>505</v>
      </c>
      <c r="J7" s="3" t="s">
        <v>506</v>
      </c>
      <c r="L7" s="3" t="s">
        <v>507</v>
      </c>
      <c r="M7" s="54" t="n">
        <f aca="false">IF(L7="Pane/Piadina",0.04,IF(OR(L7="Salumi",L7="Formaggio"),0.1,0.22))</f>
        <v>0.22</v>
      </c>
      <c r="N7" s="6" t="n">
        <f aca="false">F7*(1+M7)</f>
        <v>12.261</v>
      </c>
    </row>
    <row r="8" customFormat="false" ht="15" hidden="false" customHeight="true" outlineLevel="0" collapsed="false">
      <c r="A8" s="3" t="s">
        <v>520</v>
      </c>
      <c r="B8" s="3" t="s">
        <v>521</v>
      </c>
      <c r="C8" s="3" t="s">
        <v>517</v>
      </c>
      <c r="D8" s="18" t="n">
        <v>1</v>
      </c>
      <c r="E8" s="18" t="n">
        <v>3</v>
      </c>
      <c r="F8" s="53" t="n">
        <v>10.15</v>
      </c>
      <c r="G8" s="53" t="n">
        <f aca="false">IF($K$1="Totale riga",N8/E8,N8)</f>
        <v>12.383</v>
      </c>
      <c r="H8" s="53" t="n">
        <f aca="false">G8/D8</f>
        <v>12.383</v>
      </c>
      <c r="I8" s="3" t="s">
        <v>505</v>
      </c>
      <c r="J8" s="3" t="s">
        <v>506</v>
      </c>
      <c r="L8" s="3" t="s">
        <v>507</v>
      </c>
      <c r="M8" s="54" t="n">
        <f aca="false">IF(L8="Pane/Piadina",0.04,IF(OR(L8="Salumi",L8="Formaggio"),0.1,0.22))</f>
        <v>0.22</v>
      </c>
      <c r="N8" s="6" t="n">
        <f aca="false">F8*(1+M8)</f>
        <v>12.383</v>
      </c>
    </row>
    <row r="9" customFormat="false" ht="15" hidden="false" customHeight="true" outlineLevel="0" collapsed="false">
      <c r="A9" s="3" t="s">
        <v>522</v>
      </c>
      <c r="B9" s="3" t="s">
        <v>523</v>
      </c>
      <c r="C9" s="3" t="s">
        <v>517</v>
      </c>
      <c r="D9" s="18" t="n">
        <v>1</v>
      </c>
      <c r="E9" s="18" t="n">
        <v>6</v>
      </c>
      <c r="F9" s="53" t="n">
        <v>10.4</v>
      </c>
      <c r="G9" s="53" t="n">
        <f aca="false">IF($K$1="Totale riga",N9/E9,N9)</f>
        <v>11.44</v>
      </c>
      <c r="H9" s="53" t="n">
        <f aca="false">G9/D9</f>
        <v>11.44</v>
      </c>
      <c r="I9" s="3" t="s">
        <v>505</v>
      </c>
      <c r="J9" s="3" t="s">
        <v>506</v>
      </c>
      <c r="L9" s="3" t="s">
        <v>524</v>
      </c>
      <c r="M9" s="54" t="n">
        <f aca="false">IF(L9="Pane/Piadina",0.04,IF(OR(L9="Salumi",L9="Formaggio"),0.1,0.22))</f>
        <v>0.1</v>
      </c>
      <c r="N9" s="6" t="n">
        <f aca="false">F9*(1+M9)</f>
        <v>11.44</v>
      </c>
    </row>
    <row r="10" customFormat="false" ht="15" hidden="false" customHeight="true" outlineLevel="0" collapsed="false">
      <c r="A10" s="3" t="s">
        <v>525</v>
      </c>
      <c r="B10" s="3" t="s">
        <v>526</v>
      </c>
      <c r="C10" s="3" t="s">
        <v>504</v>
      </c>
      <c r="D10" s="18" t="n">
        <v>8</v>
      </c>
      <c r="E10" s="18" t="n">
        <v>27</v>
      </c>
      <c r="F10" s="53" t="n">
        <v>15.12</v>
      </c>
      <c r="G10" s="53" t="n">
        <f aca="false">IF($K$1="Totale riga",N10/E10,N10)</f>
        <v>15.7248</v>
      </c>
      <c r="H10" s="53" t="n">
        <f aca="false">G10/D10</f>
        <v>1.9656</v>
      </c>
      <c r="I10" s="3" t="s">
        <v>505</v>
      </c>
      <c r="J10" s="3" t="s">
        <v>506</v>
      </c>
      <c r="L10" s="3" t="s">
        <v>527</v>
      </c>
      <c r="M10" s="54" t="n">
        <f aca="false">IF(L10="Pane/Piadina",0.04,IF(OR(L10="Salumi",L10="Formaggio"),0.1,0.22))</f>
        <v>0.04</v>
      </c>
      <c r="N10" s="6" t="n">
        <f aca="false">F10*(1+M10)</f>
        <v>15.7248</v>
      </c>
    </row>
    <row r="11" customFormat="false" ht="15" hidden="false" customHeight="true" outlineLevel="0" collapsed="false">
      <c r="A11" s="3" t="s">
        <v>528</v>
      </c>
      <c r="B11" s="3" t="s">
        <v>529</v>
      </c>
      <c r="C11" s="3" t="s">
        <v>517</v>
      </c>
      <c r="D11" s="18" t="n">
        <v>1</v>
      </c>
      <c r="E11" s="18" t="n">
        <v>11</v>
      </c>
      <c r="F11" s="53" t="n">
        <v>6.58</v>
      </c>
      <c r="G11" s="53" t="n">
        <f aca="false">IF($K$1="Totale riga",N11/E11,N11)</f>
        <v>7.238</v>
      </c>
      <c r="H11" s="53" t="n">
        <f aca="false">G11/D11</f>
        <v>7.238</v>
      </c>
      <c r="I11" s="3" t="s">
        <v>505</v>
      </c>
      <c r="J11" s="3" t="s">
        <v>506</v>
      </c>
      <c r="L11" s="3" t="s">
        <v>530</v>
      </c>
      <c r="M11" s="54" t="n">
        <f aca="false">IF(L11="Pane/Piadina",0.04,IF(OR(L11="Salumi",L11="Formaggio"),0.1,0.22))</f>
        <v>0.1</v>
      </c>
      <c r="N11" s="6" t="n">
        <f aca="false">F11*(1+M11)</f>
        <v>7.238</v>
      </c>
    </row>
    <row r="12" customFormat="false" ht="15" hidden="false" customHeight="true" outlineLevel="0" collapsed="false">
      <c r="A12" s="3" t="s">
        <v>531</v>
      </c>
      <c r="B12" s="3" t="s">
        <v>532</v>
      </c>
      <c r="C12" s="3" t="s">
        <v>504</v>
      </c>
      <c r="D12" s="18" t="n">
        <v>1</v>
      </c>
      <c r="E12" s="18" t="n">
        <v>3</v>
      </c>
      <c r="F12" s="53" t="n">
        <v>12.9</v>
      </c>
      <c r="G12" s="53" t="n">
        <f aca="false">IF($K$1="Totale riga",N12/E12,N12)</f>
        <v>14.19</v>
      </c>
      <c r="H12" s="53" t="n">
        <f aca="false">G12/D12</f>
        <v>14.19</v>
      </c>
      <c r="I12" s="3" t="s">
        <v>505</v>
      </c>
      <c r="J12" s="3" t="s">
        <v>506</v>
      </c>
      <c r="L12" s="3" t="s">
        <v>524</v>
      </c>
      <c r="M12" s="54" t="n">
        <f aca="false">IF(L12="Pane/Piadina",0.04,IF(OR(L12="Salumi",L12="Formaggio"),0.1,0.22))</f>
        <v>0.1</v>
      </c>
      <c r="N12" s="6" t="n">
        <f aca="false">F12*(1+M12)</f>
        <v>14.19</v>
      </c>
    </row>
    <row r="13" customFormat="false" ht="15" hidden="false" customHeight="true" outlineLevel="0" collapsed="false">
      <c r="A13" s="3" t="s">
        <v>533</v>
      </c>
      <c r="B13" s="3" t="s">
        <v>534</v>
      </c>
      <c r="C13" s="3" t="s">
        <v>504</v>
      </c>
      <c r="D13" s="18" t="n">
        <v>1</v>
      </c>
      <c r="E13" s="18" t="n">
        <v>3</v>
      </c>
      <c r="F13" s="53" t="n">
        <v>12.85</v>
      </c>
      <c r="G13" s="53" t="n">
        <f aca="false">IF($K$1="Totale riga",N13/E13,N13)</f>
        <v>14.135</v>
      </c>
      <c r="H13" s="53" t="n">
        <f aca="false">G13/D13</f>
        <v>14.135</v>
      </c>
      <c r="I13" s="3" t="s">
        <v>505</v>
      </c>
      <c r="J13" s="3" t="s">
        <v>506</v>
      </c>
      <c r="L13" s="3" t="s">
        <v>524</v>
      </c>
      <c r="M13" s="54" t="n">
        <f aca="false">IF(L13="Pane/Piadina",0.04,IF(OR(L13="Salumi",L13="Formaggio"),0.1,0.22))</f>
        <v>0.1</v>
      </c>
      <c r="N13" s="6" t="n">
        <f aca="false">F13*(1+M13)</f>
        <v>14.135</v>
      </c>
    </row>
    <row r="14" customFormat="false" ht="15" hidden="false" customHeight="true" outlineLevel="0" collapsed="false">
      <c r="A14" s="3" t="s">
        <v>535</v>
      </c>
      <c r="B14" s="3" t="s">
        <v>536</v>
      </c>
      <c r="C14" s="3" t="s">
        <v>504</v>
      </c>
      <c r="D14" s="18" t="n">
        <v>7</v>
      </c>
      <c r="E14" s="18" t="n">
        <v>7</v>
      </c>
      <c r="F14" s="53" t="n">
        <v>8.47</v>
      </c>
      <c r="G14" s="53" t="n">
        <f aca="false">IF($K$1="Totale riga",N14/E14,N14)</f>
        <v>8.8088</v>
      </c>
      <c r="H14" s="53" t="n">
        <f aca="false">G14/D14</f>
        <v>1.2584</v>
      </c>
      <c r="I14" s="3" t="s">
        <v>537</v>
      </c>
      <c r="J14" s="3" t="s">
        <v>506</v>
      </c>
      <c r="L14" s="3" t="s">
        <v>527</v>
      </c>
      <c r="M14" s="54" t="n">
        <f aca="false">IF(L14="Pane/Piadina",0.04,IF(OR(L14="Salumi",L14="Formaggio"),0.1,0.22))</f>
        <v>0.04</v>
      </c>
      <c r="N14" s="6" t="n">
        <f aca="false">F14*(1+M14)</f>
        <v>8.8088</v>
      </c>
    </row>
    <row r="16" customFormat="false" ht="15" hidden="false" customHeight="true" outlineLevel="0" collapsed="false">
      <c r="E16" s="55" t="s">
        <v>538</v>
      </c>
      <c r="F16" s="5" t="n">
        <f aca="false">SUM(F2:F14)</f>
        <v>241.47</v>
      </c>
    </row>
  </sheetData>
  <dataValidations count="2">
    <dataValidation allowBlank="false" errorStyle="stop" operator="between" showDropDown="false" showErrorMessage="false" showInputMessage="false" sqref="K1" type="list">
      <formula1>"Totale riga,Prezzo unitario per collo"</formula1>
      <formula2>0</formula2>
    </dataValidation>
    <dataValidation allowBlank="false" errorStyle="stop" operator="between" showDropDown="false" showErrorMessage="false" showInputMessage="false" sqref="L2:L14" type="list">
      <formula1>"Pane/Piadina,Salumi,Formaggio,Altro"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9" min="8" style="1" width="18"/>
  </cols>
  <sheetData>
    <row r="1" customFormat="false" ht="39.75" hidden="false" customHeight="true" outlineLevel="0" collapsed="false">
      <c r="A1" s="2" t="s">
        <v>0</v>
      </c>
      <c r="B1" s="2" t="s">
        <v>539</v>
      </c>
      <c r="C1" s="2" t="s">
        <v>540</v>
      </c>
      <c r="D1" s="2" t="s">
        <v>541</v>
      </c>
      <c r="E1" s="2" t="s">
        <v>542</v>
      </c>
      <c r="F1" s="2" t="s">
        <v>543</v>
      </c>
      <c r="G1" s="2" t="s">
        <v>500</v>
      </c>
      <c r="H1" s="2" t="s">
        <v>544</v>
      </c>
      <c r="I1" s="2" t="s">
        <v>545</v>
      </c>
    </row>
    <row r="2" customFormat="false" ht="15" hidden="false" customHeight="true" outlineLevel="0" collapsed="false">
      <c r="A2" s="3" t="s">
        <v>546</v>
      </c>
      <c r="B2" s="3" t="s">
        <v>547</v>
      </c>
      <c r="C2" s="3" t="s">
        <v>548</v>
      </c>
      <c r="D2" s="3" t="s">
        <v>549</v>
      </c>
      <c r="E2" s="18" t="n">
        <v>20</v>
      </c>
      <c r="F2" s="6" t="n">
        <v>57.69</v>
      </c>
      <c r="G2" s="54" t="n">
        <v>0.22</v>
      </c>
      <c r="H2" s="6" t="n">
        <f aca="false">F2*(1+G2)</f>
        <v>70.3818</v>
      </c>
      <c r="I2" s="5" t="n">
        <f aca="false">H2/E2</f>
        <v>3.51909</v>
      </c>
    </row>
    <row r="3" customFormat="false" ht="15" hidden="false" customHeight="true" outlineLevel="0" collapsed="false">
      <c r="A3" s="3" t="s">
        <v>550</v>
      </c>
      <c r="B3" s="3" t="s">
        <v>547</v>
      </c>
      <c r="C3" s="3" t="s">
        <v>551</v>
      </c>
      <c r="D3" s="3" t="s">
        <v>549</v>
      </c>
      <c r="E3" s="18" t="n">
        <v>15.3</v>
      </c>
      <c r="F3" s="6" t="n">
        <v>52.83</v>
      </c>
      <c r="G3" s="54" t="n">
        <v>0.22</v>
      </c>
      <c r="H3" s="6" t="n">
        <f aca="false">F3*(1+G3)</f>
        <v>64.4526</v>
      </c>
      <c r="I3" s="5" t="n">
        <f aca="false">H3/E3</f>
        <v>4.21258823529412</v>
      </c>
    </row>
    <row r="4" customFormat="false" ht="15" hidden="false" customHeight="true" outlineLevel="0" collapsed="false">
      <c r="A4" s="3" t="s">
        <v>552</v>
      </c>
      <c r="B4" s="3" t="s">
        <v>547</v>
      </c>
      <c r="C4" s="3" t="s">
        <v>553</v>
      </c>
      <c r="D4" s="3" t="s">
        <v>549</v>
      </c>
      <c r="E4" s="18" t="n">
        <v>25</v>
      </c>
      <c r="F4" s="6" t="n">
        <v>64.53</v>
      </c>
      <c r="G4" s="54" t="n">
        <v>0.22</v>
      </c>
      <c r="H4" s="6" t="n">
        <f aca="false">F4*(1+G4)</f>
        <v>78.7266</v>
      </c>
      <c r="I4" s="5" t="n">
        <f aca="false">H4/E4</f>
        <v>3.149064</v>
      </c>
    </row>
    <row r="5" customFormat="false" ht="15" hidden="false" customHeight="true" outlineLevel="0" collapsed="false">
      <c r="A5" s="3" t="s">
        <v>554</v>
      </c>
      <c r="B5" s="3" t="s">
        <v>547</v>
      </c>
      <c r="C5" s="3" t="s">
        <v>555</v>
      </c>
      <c r="D5" s="3" t="s">
        <v>549</v>
      </c>
      <c r="E5" s="18" t="n">
        <v>18</v>
      </c>
      <c r="F5" s="6" t="n">
        <v>42.57</v>
      </c>
      <c r="G5" s="54" t="n">
        <v>0.22</v>
      </c>
      <c r="H5" s="6" t="n">
        <f aca="false">F5*(1+G5)</f>
        <v>51.9354</v>
      </c>
      <c r="I5" s="5" t="n">
        <f aca="false">H5/E5</f>
        <v>2.8853</v>
      </c>
    </row>
    <row r="6" customFormat="false" ht="15" hidden="false" customHeight="true" outlineLevel="0" collapsed="false">
      <c r="A6" s="3" t="s">
        <v>556</v>
      </c>
      <c r="B6" s="3" t="s">
        <v>547</v>
      </c>
      <c r="C6" s="3" t="s">
        <v>557</v>
      </c>
      <c r="D6" s="3" t="s">
        <v>558</v>
      </c>
      <c r="E6" s="18" t="n">
        <v>50</v>
      </c>
      <c r="F6" s="6" t="n">
        <v>3.95</v>
      </c>
      <c r="G6" s="54" t="n">
        <v>0.22</v>
      </c>
      <c r="H6" s="6" t="n">
        <f aca="false">F6*(1+G6)</f>
        <v>4.819</v>
      </c>
      <c r="I6" s="5" t="n">
        <f aca="false">H6/E6</f>
        <v>0.09638</v>
      </c>
    </row>
    <row r="7" customFormat="false" ht="15" hidden="false" customHeight="true" outlineLevel="0" collapsed="false">
      <c r="A7" s="3" t="s">
        <v>559</v>
      </c>
      <c r="B7" s="3" t="s">
        <v>547</v>
      </c>
      <c r="C7" s="3" t="s">
        <v>557</v>
      </c>
      <c r="D7" s="3" t="s">
        <v>558</v>
      </c>
      <c r="E7" s="18" t="n">
        <v>50</v>
      </c>
      <c r="F7" s="6" t="n">
        <v>5.35</v>
      </c>
      <c r="G7" s="54" t="n">
        <v>0.22</v>
      </c>
      <c r="H7" s="6" t="n">
        <f aca="false">F7*(1+G7)</f>
        <v>6.527</v>
      </c>
      <c r="I7" s="5" t="n">
        <f aca="false">H7/E7</f>
        <v>0.13054</v>
      </c>
    </row>
    <row r="8" customFormat="false" ht="15" hidden="false" customHeight="true" outlineLevel="0" collapsed="false">
      <c r="A8" s="3" t="s">
        <v>560</v>
      </c>
      <c r="B8" s="3" t="s">
        <v>547</v>
      </c>
      <c r="C8" s="3" t="s">
        <v>561</v>
      </c>
      <c r="D8" s="3" t="s">
        <v>562</v>
      </c>
      <c r="E8" s="18" t="n">
        <v>24</v>
      </c>
      <c r="F8" s="6" t="n">
        <v>13.36</v>
      </c>
      <c r="G8" s="54" t="n">
        <v>0.22</v>
      </c>
      <c r="H8" s="6" t="n">
        <f aca="false">F8*(1+G8)</f>
        <v>16.2992</v>
      </c>
      <c r="I8" s="5" t="n">
        <f aca="false">H8/E8</f>
        <v>0.679133333333333</v>
      </c>
    </row>
    <row r="9" customFormat="false" ht="15" hidden="false" customHeight="true" outlineLevel="0" collapsed="false">
      <c r="A9" s="3" t="s">
        <v>563</v>
      </c>
      <c r="B9" s="3" t="s">
        <v>547</v>
      </c>
      <c r="C9" s="3" t="s">
        <v>561</v>
      </c>
      <c r="D9" s="3" t="s">
        <v>562</v>
      </c>
      <c r="E9" s="18" t="n">
        <v>24</v>
      </c>
      <c r="F9" s="6" t="n">
        <v>13.36</v>
      </c>
      <c r="G9" s="54" t="n">
        <v>0.22</v>
      </c>
      <c r="H9" s="6" t="n">
        <f aca="false">F9*(1+G9)</f>
        <v>16.2992</v>
      </c>
      <c r="I9" s="5" t="n">
        <f aca="false">H9/E9</f>
        <v>0.679133333333333</v>
      </c>
    </row>
    <row r="10" customFormat="false" ht="15" hidden="false" customHeight="true" outlineLevel="0" collapsed="false">
      <c r="A10" s="3" t="s">
        <v>564</v>
      </c>
      <c r="B10" s="3" t="s">
        <v>547</v>
      </c>
      <c r="C10" s="3" t="s">
        <v>557</v>
      </c>
      <c r="D10" s="3" t="s">
        <v>558</v>
      </c>
      <c r="E10" s="18" t="n">
        <v>50</v>
      </c>
      <c r="F10" s="6" t="n">
        <v>4.65</v>
      </c>
      <c r="G10" s="54" t="n">
        <v>0.22</v>
      </c>
      <c r="H10" s="6" t="n">
        <f aca="false">F10*(1+G10)</f>
        <v>5.673</v>
      </c>
      <c r="I10" s="5" t="n">
        <f aca="false">H10/E10</f>
        <v>0.11346</v>
      </c>
    </row>
    <row r="11" customFormat="false" ht="15" hidden="false" customHeight="true" outlineLevel="0" collapsed="false">
      <c r="A11" s="3" t="s">
        <v>565</v>
      </c>
      <c r="B11" s="3" t="s">
        <v>547</v>
      </c>
      <c r="C11" s="3" t="s">
        <v>566</v>
      </c>
      <c r="D11" s="3" t="s">
        <v>549</v>
      </c>
      <c r="E11" s="18" t="n">
        <v>1</v>
      </c>
      <c r="F11" s="6" t="n">
        <v>11</v>
      </c>
      <c r="G11" s="54" t="n">
        <v>0.22</v>
      </c>
      <c r="H11" s="6" t="n">
        <f aca="false">F11*(1+G11)</f>
        <v>13.42</v>
      </c>
      <c r="I11" s="5" t="n">
        <f aca="false">H11/E11</f>
        <v>13.42</v>
      </c>
    </row>
    <row r="12" customFormat="false" ht="15" hidden="false" customHeight="true" outlineLevel="0" collapsed="false">
      <c r="A12" s="3" t="s">
        <v>567</v>
      </c>
      <c r="B12" s="3" t="s">
        <v>547</v>
      </c>
      <c r="C12" s="3" t="s">
        <v>566</v>
      </c>
      <c r="D12" s="3" t="s">
        <v>549</v>
      </c>
      <c r="E12" s="18" t="n">
        <v>1</v>
      </c>
      <c r="F12" s="6" t="n">
        <v>14.1</v>
      </c>
      <c r="G12" s="54" t="n">
        <v>0.22</v>
      </c>
      <c r="H12" s="6" t="n">
        <f aca="false">F12*(1+G12)</f>
        <v>17.202</v>
      </c>
      <c r="I12" s="5" t="n">
        <f aca="false">H12/E12</f>
        <v>17.202</v>
      </c>
    </row>
    <row r="13" customFormat="false" ht="15" hidden="false" customHeight="true" outlineLevel="0" collapsed="false">
      <c r="A13" s="3" t="s">
        <v>568</v>
      </c>
      <c r="B13" s="3" t="s">
        <v>547</v>
      </c>
      <c r="C13" s="3" t="s">
        <v>561</v>
      </c>
      <c r="D13" s="3" t="s">
        <v>562</v>
      </c>
      <c r="E13" s="18" t="n">
        <v>24</v>
      </c>
      <c r="F13" s="6" t="n">
        <v>13.36</v>
      </c>
      <c r="G13" s="54" t="n">
        <v>0.22</v>
      </c>
      <c r="H13" s="6" t="n">
        <f aca="false">F13*(1+G13)</f>
        <v>16.2992</v>
      </c>
      <c r="I13" s="5" t="n">
        <f aca="false">H13/E13</f>
        <v>0.679133333333333</v>
      </c>
    </row>
    <row r="14" customFormat="false" ht="15" hidden="false" customHeight="true" outlineLevel="0" collapsed="false">
      <c r="A14" s="3" t="s">
        <v>569</v>
      </c>
      <c r="B14" s="3" t="s">
        <v>547</v>
      </c>
      <c r="C14" s="3" t="s">
        <v>561</v>
      </c>
      <c r="D14" s="3" t="s">
        <v>562</v>
      </c>
      <c r="E14" s="18" t="n">
        <v>24</v>
      </c>
      <c r="F14" s="6" t="n">
        <v>13.36</v>
      </c>
      <c r="G14" s="54" t="n">
        <v>0.22</v>
      </c>
      <c r="H14" s="6" t="n">
        <f aca="false">F14*(1+G14)</f>
        <v>16.2992</v>
      </c>
      <c r="I14" s="5" t="n">
        <f aca="false">H14/E14</f>
        <v>0.679133333333333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2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8" min="7" style="1" width="24"/>
  </cols>
  <sheetData>
    <row r="1" customFormat="false" ht="39.75" hidden="false" customHeight="true" outlineLevel="0" collapsed="false">
      <c r="A1" s="2" t="s">
        <v>0</v>
      </c>
      <c r="B1" s="2" t="s">
        <v>570</v>
      </c>
      <c r="C1" s="2" t="s">
        <v>571</v>
      </c>
      <c r="D1" s="2" t="s">
        <v>540</v>
      </c>
      <c r="E1" s="2" t="s">
        <v>541</v>
      </c>
      <c r="F1" s="2" t="s">
        <v>572</v>
      </c>
      <c r="G1" s="2" t="s">
        <v>573</v>
      </c>
      <c r="H1" s="2" t="s">
        <v>545</v>
      </c>
    </row>
    <row r="2" customFormat="false" ht="15" hidden="false" customHeight="true" outlineLevel="0" collapsed="false">
      <c r="A2" s="3" t="s">
        <v>574</v>
      </c>
      <c r="B2" s="3" t="s">
        <v>575</v>
      </c>
      <c r="C2" s="3" t="s">
        <v>576</v>
      </c>
      <c r="D2" s="3" t="s">
        <v>577</v>
      </c>
      <c r="E2" s="3" t="s">
        <v>578</v>
      </c>
      <c r="F2" s="18" t="n">
        <v>12</v>
      </c>
      <c r="G2" s="6" t="n">
        <v>1.6</v>
      </c>
      <c r="H2" s="56" t="n">
        <f aca="false">G2/F2</f>
        <v>0.133333333333333</v>
      </c>
    </row>
    <row r="3" customFormat="false" ht="15" hidden="false" customHeight="true" outlineLevel="0" collapsed="false">
      <c r="A3" s="3" t="s">
        <v>579</v>
      </c>
      <c r="B3" s="3" t="s">
        <v>575</v>
      </c>
      <c r="C3" s="3" t="s">
        <v>580</v>
      </c>
      <c r="D3" s="3" t="s">
        <v>577</v>
      </c>
      <c r="E3" s="3" t="s">
        <v>578</v>
      </c>
      <c r="F3" s="18" t="n">
        <v>12</v>
      </c>
      <c r="G3" s="6" t="n">
        <v>1.6</v>
      </c>
      <c r="H3" s="56" t="n">
        <f aca="false">G3/F3</f>
        <v>0.133333333333333</v>
      </c>
    </row>
    <row r="4" customFormat="false" ht="15" hidden="false" customHeight="true" outlineLevel="0" collapsed="false">
      <c r="A4" s="3" t="s">
        <v>581</v>
      </c>
      <c r="B4" s="3" t="s">
        <v>582</v>
      </c>
      <c r="C4" s="3" t="s">
        <v>583</v>
      </c>
      <c r="D4" s="3" t="s">
        <v>584</v>
      </c>
      <c r="E4" s="3" t="s">
        <v>585</v>
      </c>
      <c r="F4" s="18" t="n">
        <v>2.5</v>
      </c>
      <c r="G4" s="6" t="n">
        <v>3.9</v>
      </c>
      <c r="H4" s="56" t="n">
        <f aca="false">G4/F4</f>
        <v>1.56</v>
      </c>
    </row>
    <row r="5" customFormat="false" ht="15" hidden="false" customHeight="true" outlineLevel="0" collapsed="false">
      <c r="A5" s="3" t="s">
        <v>586</v>
      </c>
      <c r="B5" s="3" t="s">
        <v>587</v>
      </c>
      <c r="C5" s="3" t="s">
        <v>588</v>
      </c>
      <c r="D5" s="3" t="s">
        <v>589</v>
      </c>
      <c r="E5" s="3" t="s">
        <v>585</v>
      </c>
      <c r="F5" s="18" t="n">
        <v>2</v>
      </c>
      <c r="G5" s="6" t="n">
        <v>1.3</v>
      </c>
      <c r="H5" s="56" t="n">
        <f aca="false">G5/F5</f>
        <v>0.65</v>
      </c>
    </row>
    <row r="6" customFormat="false" ht="15" hidden="false" customHeight="true" outlineLevel="0" collapsed="false">
      <c r="A6" s="3" t="s">
        <v>590</v>
      </c>
      <c r="B6" s="3" t="s">
        <v>591</v>
      </c>
      <c r="C6" s="3" t="s">
        <v>592</v>
      </c>
      <c r="D6" s="3" t="s">
        <v>593</v>
      </c>
      <c r="E6" s="3" t="s">
        <v>585</v>
      </c>
      <c r="F6" s="18" t="n">
        <v>0.4</v>
      </c>
      <c r="G6" s="6" t="n">
        <v>2.75</v>
      </c>
      <c r="H6" s="56" t="n">
        <f aca="false">G6/F6</f>
        <v>6.875</v>
      </c>
    </row>
    <row r="7" customFormat="false" ht="15" hidden="false" customHeight="true" outlineLevel="0" collapsed="false">
      <c r="A7" s="3" t="s">
        <v>594</v>
      </c>
      <c r="B7" s="3" t="s">
        <v>595</v>
      </c>
      <c r="C7" s="3" t="s">
        <v>596</v>
      </c>
      <c r="D7" s="3" t="s">
        <v>597</v>
      </c>
      <c r="E7" s="3" t="s">
        <v>585</v>
      </c>
      <c r="F7" s="18" t="n">
        <v>0.5</v>
      </c>
      <c r="G7" s="6" t="n">
        <v>3.29</v>
      </c>
      <c r="H7" s="56" t="n">
        <f aca="false">G7/F7</f>
        <v>6.58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5" min="4" style="1" width="20"/>
    <col collapsed="false" customWidth="true" hidden="false" outlineLevel="0" max="6" min="6" style="1" width="45"/>
  </cols>
  <sheetData>
    <row r="1" customFormat="false" ht="39.75" hidden="false" customHeight="true" outlineLevel="0" collapsed="false">
      <c r="A1" s="2" t="s">
        <v>96</v>
      </c>
      <c r="B1" s="2" t="s">
        <v>541</v>
      </c>
      <c r="C1" s="2" t="s">
        <v>542</v>
      </c>
      <c r="D1" s="2" t="s">
        <v>598</v>
      </c>
      <c r="E1" s="2" t="s">
        <v>545</v>
      </c>
      <c r="F1" s="2" t="s">
        <v>437</v>
      </c>
    </row>
    <row r="2" customFormat="false" ht="15" hidden="false" customHeight="true" outlineLevel="0" collapsed="false">
      <c r="A2" s="3" t="s">
        <v>599</v>
      </c>
      <c r="B2" s="3" t="s">
        <v>549</v>
      </c>
      <c r="C2" s="18" t="n">
        <v>20</v>
      </c>
      <c r="D2" s="6" t="n">
        <f aca="false">'Materie Prime'!G3</f>
        <v>57.462</v>
      </c>
      <c r="E2" s="5" t="n">
        <f aca="false">IF(C2="","",D2/C2)</f>
        <v>2.8731</v>
      </c>
      <c r="F2" s="57" t="s">
        <v>600</v>
      </c>
    </row>
    <row r="3" customFormat="false" ht="15" hidden="false" customHeight="true" outlineLevel="0" collapsed="false">
      <c r="A3" s="3" t="s">
        <v>601</v>
      </c>
      <c r="B3" s="3" t="s">
        <v>602</v>
      </c>
      <c r="C3" s="18" t="n">
        <v>132</v>
      </c>
      <c r="D3" s="6" t="n">
        <f aca="false">'Materie Prime'!G7</f>
        <v>12.261</v>
      </c>
      <c r="E3" s="5" t="n">
        <f aca="false">IF(C3="","",D3/C3)</f>
        <v>0.0928863636363636</v>
      </c>
      <c r="F3" s="57" t="s">
        <v>603</v>
      </c>
    </row>
    <row r="4" customFormat="false" ht="15" hidden="false" customHeight="true" outlineLevel="0" collapsed="false">
      <c r="A4" s="3" t="s">
        <v>604</v>
      </c>
      <c r="B4" s="3" t="s">
        <v>602</v>
      </c>
      <c r="C4" s="18" t="n">
        <v>132</v>
      </c>
      <c r="D4" s="6" t="n">
        <f aca="false">'Materie Prime'!G8</f>
        <v>12.383</v>
      </c>
      <c r="E4" s="5" t="n">
        <f aca="false">IF(C4="","",D4/C4)</f>
        <v>0.0938106060606061</v>
      </c>
      <c r="F4" s="57" t="s">
        <v>603</v>
      </c>
    </row>
    <row r="5" customFormat="false" ht="21.75" hidden="false" customHeight="true" outlineLevel="0" collapsed="false">
      <c r="A5" s="3" t="s">
        <v>605</v>
      </c>
      <c r="B5" s="3" t="s">
        <v>606</v>
      </c>
      <c r="C5" s="18" t="n">
        <v>10</v>
      </c>
      <c r="D5" s="6" t="n">
        <f aca="false">'Materie Prime'!N9</f>
        <v>11.44</v>
      </c>
      <c r="E5" s="5" t="n">
        <f aca="false">IF(C5="","",D5/C5)</f>
        <v>1.144</v>
      </c>
      <c r="F5" s="57" t="s">
        <v>607</v>
      </c>
    </row>
    <row r="6" customFormat="false" ht="21.75" hidden="false" customHeight="true" outlineLevel="0" collapsed="false">
      <c r="A6" s="3" t="s">
        <v>608</v>
      </c>
      <c r="B6" s="3" t="s">
        <v>609</v>
      </c>
      <c r="C6" s="18" t="n">
        <v>24</v>
      </c>
      <c r="D6" s="6" t="n">
        <f aca="false">'Materie Prime'!G10</f>
        <v>15.7248</v>
      </c>
      <c r="E6" s="5" t="n">
        <f aca="false">IF(C6="","",D6/C6)</f>
        <v>0.6552</v>
      </c>
      <c r="F6" s="57" t="s">
        <v>610</v>
      </c>
    </row>
    <row r="7" customFormat="false" ht="15" hidden="false" customHeight="true" outlineLevel="0" collapsed="false">
      <c r="A7" s="3" t="s">
        <v>611</v>
      </c>
      <c r="B7" s="3" t="s">
        <v>606</v>
      </c>
      <c r="C7" s="18" t="n">
        <v>10</v>
      </c>
      <c r="D7" s="6" t="n">
        <f aca="false">'Materie Prime'!G11</f>
        <v>7.238</v>
      </c>
      <c r="E7" s="5" t="n">
        <f aca="false">IF(C7="","",D7/C7)</f>
        <v>0.7238</v>
      </c>
      <c r="F7" s="57" t="s">
        <v>612</v>
      </c>
    </row>
    <row r="8" customFormat="false" ht="21.75" hidden="false" customHeight="true" outlineLevel="0" collapsed="false">
      <c r="A8" s="3" t="s">
        <v>613</v>
      </c>
      <c r="B8" s="3" t="s">
        <v>606</v>
      </c>
      <c r="C8" s="18" t="n">
        <v>10</v>
      </c>
      <c r="D8" s="6" t="n">
        <f aca="false">'Materie Prime'!N12</f>
        <v>14.19</v>
      </c>
      <c r="E8" s="5" t="n">
        <f aca="false">IF(C8="","",D8/C8)</f>
        <v>1.419</v>
      </c>
      <c r="F8" s="57" t="s">
        <v>607</v>
      </c>
    </row>
    <row r="9" customFormat="false" ht="21.75" hidden="false" customHeight="true" outlineLevel="0" collapsed="false">
      <c r="A9" s="3" t="s">
        <v>614</v>
      </c>
      <c r="B9" s="3" t="s">
        <v>606</v>
      </c>
      <c r="C9" s="18" t="n">
        <v>10</v>
      </c>
      <c r="D9" s="6" t="n">
        <f aca="false">'Materie Prime'!N13</f>
        <v>14.135</v>
      </c>
      <c r="E9" s="5" t="n">
        <f aca="false">IF(C9="","",D9/C9)</f>
        <v>1.4135</v>
      </c>
      <c r="F9" s="57" t="s">
        <v>607</v>
      </c>
    </row>
    <row r="10" customFormat="false" ht="21.75" hidden="false" customHeight="true" outlineLevel="0" collapsed="false">
      <c r="A10" s="3" t="s">
        <v>615</v>
      </c>
      <c r="B10" s="3" t="s">
        <v>616</v>
      </c>
      <c r="C10" s="19" t="n">
        <f aca="false">Parametri!$B$45*Parametri!$B$46</f>
        <v>28</v>
      </c>
      <c r="D10" s="6" t="n">
        <f aca="false">'Materie Prime'!G14</f>
        <v>8.8088</v>
      </c>
      <c r="E10" s="5" t="n">
        <f aca="false">IF(C10="","",D10/C10)</f>
        <v>0.3146</v>
      </c>
      <c r="F10" s="57" t="s">
        <v>617</v>
      </c>
    </row>
    <row r="11" customFormat="false" ht="21.75" hidden="false" customHeight="true" outlineLevel="0" collapsed="false">
      <c r="A11" s="3" t="s">
        <v>618</v>
      </c>
      <c r="B11" s="3" t="s">
        <v>619</v>
      </c>
      <c r="C11" s="18" t="n">
        <v>1680</v>
      </c>
      <c r="D11" s="6" t="n">
        <f aca="false">'Materie Prime'!G2</f>
        <v>56.8032</v>
      </c>
      <c r="E11" s="5" t="n">
        <f aca="false">IF(C11="","",D11/C11)</f>
        <v>0.0338114285714286</v>
      </c>
      <c r="F11" s="57" t="s">
        <v>620</v>
      </c>
    </row>
    <row r="12" customFormat="false" ht="21.75" hidden="false" customHeight="true" outlineLevel="0" collapsed="false">
      <c r="A12" s="3" t="s">
        <v>621</v>
      </c>
      <c r="B12" s="3" t="s">
        <v>622</v>
      </c>
      <c r="C12" s="18" t="n">
        <v>1000</v>
      </c>
      <c r="D12" s="6" t="n">
        <f aca="false">'Materie Prime'!G5</f>
        <v>58.804</v>
      </c>
      <c r="E12" s="5" t="n">
        <f aca="false">IF(C12="","",D12/C12)</f>
        <v>0.058804</v>
      </c>
      <c r="F12" s="57" t="s">
        <v>623</v>
      </c>
    </row>
    <row r="13" customFormat="false" ht="21.75" hidden="false" customHeight="true" outlineLevel="0" collapsed="false">
      <c r="A13" s="3" t="s">
        <v>624</v>
      </c>
      <c r="B13" s="3" t="s">
        <v>625</v>
      </c>
      <c r="C13" s="18" t="n">
        <v>600</v>
      </c>
      <c r="D13" s="6" t="n">
        <f aca="false">'Materie Prime'!G4</f>
        <v>12.0048</v>
      </c>
      <c r="E13" s="56" t="n">
        <f aca="false">IF(C13="","",D13/C13)</f>
        <v>0.020008</v>
      </c>
      <c r="F13" s="57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</cols>
  <sheetData>
    <row r="1" customFormat="false" ht="15" hidden="false" customHeight="true" outlineLevel="0" collapsed="false">
      <c r="A1" s="26" t="s">
        <v>627</v>
      </c>
      <c r="B1" s="27"/>
    </row>
    <row r="2" customFormat="false" ht="15" hidden="false" customHeight="true" outlineLevel="0" collapsed="false">
      <c r="A2" s="28" t="s">
        <v>628</v>
      </c>
      <c r="B2" s="58" t="n">
        <v>100</v>
      </c>
    </row>
    <row r="3" customFormat="false" ht="15" hidden="false" customHeight="true" outlineLevel="0" collapsed="false">
      <c r="A3" s="28" t="s">
        <v>629</v>
      </c>
      <c r="B3" s="59" t="n">
        <v>0.8</v>
      </c>
    </row>
    <row r="4" customFormat="false" ht="15" hidden="false" customHeight="true" outlineLevel="0" collapsed="false">
      <c r="A4" s="28" t="s">
        <v>630</v>
      </c>
      <c r="B4" s="60" t="n">
        <f aca="false">B2</f>
        <v>100</v>
      </c>
    </row>
    <row r="5" customFormat="false" ht="15" hidden="false" customHeight="true" outlineLevel="0" collapsed="false">
      <c r="A5" s="28" t="s">
        <v>631</v>
      </c>
      <c r="B5" s="60" t="n">
        <f aca="false">B2*B3</f>
        <v>80</v>
      </c>
    </row>
    <row r="6" customFormat="false" ht="15" hidden="false" customHeight="true" outlineLevel="0" collapsed="false">
      <c r="A6" s="28" t="s">
        <v>632</v>
      </c>
      <c r="B6" s="60" t="n">
        <f aca="false">B2*(1-B3)</f>
        <v>20</v>
      </c>
    </row>
    <row r="7" customFormat="false" ht="15" hidden="false" customHeight="true" outlineLevel="0" collapsed="false">
      <c r="A7" s="28" t="s">
        <v>633</v>
      </c>
      <c r="B7" s="60" t="n">
        <f aca="false">B2</f>
        <v>100</v>
      </c>
    </row>
    <row r="8" customFormat="false" ht="15" hidden="false" customHeight="true" outlineLevel="0" collapsed="false">
      <c r="A8" s="26" t="s">
        <v>634</v>
      </c>
      <c r="B8" s="27"/>
    </row>
    <row r="9" customFormat="false" ht="15" hidden="false" customHeight="true" outlineLevel="0" collapsed="false">
      <c r="A9" s="28" t="s">
        <v>635</v>
      </c>
      <c r="B9" s="58" t="n">
        <v>200</v>
      </c>
    </row>
    <row r="10" customFormat="false" ht="15" hidden="false" customHeight="true" outlineLevel="0" collapsed="false">
      <c r="A10" s="28" t="s">
        <v>636</v>
      </c>
      <c r="B10" s="59" t="n">
        <v>0.1</v>
      </c>
    </row>
    <row r="11" customFormat="false" ht="15" hidden="false" customHeight="true" outlineLevel="0" collapsed="false">
      <c r="A11" s="28" t="s">
        <v>637</v>
      </c>
      <c r="B11" s="29" t="n">
        <v>0.92</v>
      </c>
    </row>
    <row r="12" customFormat="false" ht="15" hidden="false" customHeight="true" outlineLevel="0" collapsed="false">
      <c r="A12" s="28" t="s">
        <v>638</v>
      </c>
      <c r="B12" s="61" t="n">
        <f aca="false">B9*B10/B11</f>
        <v>21.7391304347826</v>
      </c>
    </row>
    <row r="13" customFormat="false" ht="15" hidden="false" customHeight="true" outlineLevel="0" collapsed="false">
      <c r="A13" s="28" t="s">
        <v>639</v>
      </c>
      <c r="B13" s="58" t="n">
        <v>1</v>
      </c>
    </row>
    <row r="14" customFormat="false" ht="15" hidden="false" customHeight="true" outlineLevel="0" collapsed="false">
      <c r="A14" s="28" t="s">
        <v>640</v>
      </c>
      <c r="B14" s="58" t="n">
        <v>1</v>
      </c>
    </row>
    <row r="15" customFormat="false" ht="15" hidden="false" customHeight="true" outlineLevel="0" collapsed="false">
      <c r="A15" s="28" t="s">
        <v>641</v>
      </c>
      <c r="B15" s="58" t="n">
        <v>1</v>
      </c>
    </row>
    <row r="16" customFormat="false" ht="15" hidden="false" customHeight="true" outlineLevel="0" collapsed="false">
      <c r="A16" s="28" t="s">
        <v>642</v>
      </c>
      <c r="B16" s="58" t="n">
        <v>1</v>
      </c>
    </row>
    <row r="17" customFormat="false" ht="15" hidden="false" customHeight="true" outlineLevel="0" collapsed="false">
      <c r="A17" s="28" t="s">
        <v>643</v>
      </c>
      <c r="B17" s="58" t="n">
        <v>2</v>
      </c>
    </row>
    <row r="18" customFormat="false" ht="15" hidden="false" customHeight="true" outlineLevel="0" collapsed="false">
      <c r="A18" s="26" t="s">
        <v>644</v>
      </c>
      <c r="B18" s="27"/>
    </row>
    <row r="19" customFormat="false" ht="15" hidden="false" customHeight="true" outlineLevel="0" collapsed="false">
      <c r="A19" s="28" t="s">
        <v>645</v>
      </c>
      <c r="B19" s="58" t="n">
        <v>300</v>
      </c>
    </row>
    <row r="20" customFormat="false" ht="15" hidden="false" customHeight="true" outlineLevel="0" collapsed="false">
      <c r="A20" s="28" t="s">
        <v>646</v>
      </c>
      <c r="B20" s="58" t="n">
        <v>5</v>
      </c>
    </row>
    <row r="21" customFormat="false" ht="15" hidden="false" customHeight="true" outlineLevel="0" collapsed="false">
      <c r="A21" s="28" t="s">
        <v>647</v>
      </c>
      <c r="B21" s="58" t="n">
        <v>25</v>
      </c>
    </row>
    <row r="22" customFormat="false" ht="15" hidden="false" customHeight="true" outlineLevel="0" collapsed="false">
      <c r="A22" s="28" t="s">
        <v>648</v>
      </c>
      <c r="B22" s="58" t="n">
        <v>23</v>
      </c>
    </row>
    <row r="23" customFormat="false" ht="15" hidden="false" customHeight="true" outlineLevel="0" collapsed="false">
      <c r="A23" s="28" t="s">
        <v>649</v>
      </c>
      <c r="B23" s="60" t="n">
        <f aca="false">B20*B21</f>
        <v>125</v>
      </c>
    </row>
    <row r="24" customFormat="false" ht="15" hidden="false" customHeight="true" outlineLevel="0" collapsed="false">
      <c r="A24" s="28" t="s">
        <v>650</v>
      </c>
      <c r="B24" s="60" t="n">
        <f aca="false">B19-B23</f>
        <v>175</v>
      </c>
    </row>
    <row r="25" customFormat="false" ht="15" hidden="false" customHeight="true" outlineLevel="0" collapsed="false">
      <c r="A25" s="28" t="s">
        <v>651</v>
      </c>
      <c r="B25" s="58" t="n">
        <v>4</v>
      </c>
    </row>
    <row r="26" customFormat="false" ht="15" hidden="false" customHeight="true" outlineLevel="0" collapsed="false">
      <c r="A26" s="28" t="s">
        <v>652</v>
      </c>
      <c r="B26" s="58" t="n">
        <v>2</v>
      </c>
    </row>
    <row r="27" customFormat="false" ht="15" hidden="false" customHeight="true" outlineLevel="0" collapsed="false">
      <c r="A27" s="28" t="s">
        <v>653</v>
      </c>
      <c r="B27" s="61" t="n">
        <f aca="false">B24*B25/(B25+B26)</f>
        <v>116.666666666667</v>
      </c>
    </row>
    <row r="28" customFormat="false" ht="15" hidden="false" customHeight="true" outlineLevel="0" collapsed="false">
      <c r="A28" s="28" t="s">
        <v>654</v>
      </c>
      <c r="B28" s="61" t="n">
        <f aca="false">B24*B26/(B25+B26)</f>
        <v>58.3333333333333</v>
      </c>
    </row>
    <row r="29" customFormat="false" ht="15" hidden="false" customHeight="true" outlineLevel="0" collapsed="false">
      <c r="A29" s="28" t="s">
        <v>655</v>
      </c>
      <c r="B29" s="60" t="n">
        <f aca="false">B20*B22</f>
        <v>115</v>
      </c>
    </row>
    <row r="30" customFormat="false" ht="15" hidden="false" customHeight="true" outlineLevel="0" collapsed="false">
      <c r="A30" s="26" t="s">
        <v>656</v>
      </c>
      <c r="B30" s="27"/>
    </row>
    <row r="31" customFormat="false" ht="15" hidden="false" customHeight="true" outlineLevel="0" collapsed="false">
      <c r="A31" s="28" t="s">
        <v>657</v>
      </c>
      <c r="B31" s="58" t="n">
        <v>3</v>
      </c>
    </row>
    <row r="32" customFormat="false" ht="15" hidden="false" customHeight="true" outlineLevel="0" collapsed="false">
      <c r="A32" s="28" t="s">
        <v>658</v>
      </c>
      <c r="B32" s="62" t="n">
        <v>24</v>
      </c>
    </row>
    <row r="33" customFormat="false" ht="15" hidden="false" customHeight="true" outlineLevel="0" collapsed="false">
      <c r="A33" s="28" t="s">
        <v>659</v>
      </c>
      <c r="B33" s="63" t="n">
        <f aca="false">B31*B32*1.22</f>
        <v>87.84</v>
      </c>
    </row>
    <row r="34" customFormat="false" ht="15" hidden="false" customHeight="true" outlineLevel="0" collapsed="false">
      <c r="A34" s="28" t="s">
        <v>660</v>
      </c>
      <c r="B34" s="61" t="n">
        <f aca="false">'Vendite 2025'!$J$23</f>
        <v>162.8</v>
      </c>
    </row>
    <row r="35" customFormat="false" ht="15" hidden="false" customHeight="true" outlineLevel="0" collapsed="false">
      <c r="A35" s="28" t="s">
        <v>661</v>
      </c>
      <c r="B35" s="64" t="n">
        <f aca="false">B33/B34</f>
        <v>0.53955773955774</v>
      </c>
    </row>
    <row r="36" customFormat="false" ht="15" hidden="false" customHeight="true" outlineLevel="0" collapsed="false">
      <c r="A36" s="26" t="s">
        <v>662</v>
      </c>
      <c r="B36" s="27"/>
    </row>
    <row r="37" customFormat="false" ht="15" hidden="false" customHeight="true" outlineLevel="0" collapsed="false">
      <c r="A37" s="28" t="s">
        <v>663</v>
      </c>
      <c r="B37" s="58" t="n">
        <v>4</v>
      </c>
    </row>
    <row r="38" customFormat="false" ht="15" hidden="false" customHeight="true" outlineLevel="0" collapsed="false">
      <c r="A38" s="28" t="s">
        <v>664</v>
      </c>
      <c r="B38" s="58" t="n">
        <v>7</v>
      </c>
    </row>
    <row r="39" customFormat="false" ht="15" hidden="false" customHeight="true" outlineLevel="0" collapsed="false">
      <c r="A39" s="28" t="s">
        <v>665</v>
      </c>
      <c r="B39" s="65" t="n">
        <f aca="false">B40/B34</f>
        <v>1.88923013923014</v>
      </c>
    </row>
    <row r="40" customFormat="false" ht="15" hidden="false" customHeight="true" outlineLevel="0" collapsed="false">
      <c r="A40" s="28" t="s">
        <v>666</v>
      </c>
      <c r="B40" s="61" t="n">
        <f aca="false">'Fabbisogno 2026'!$D$51+'Fabbisogno 2026'!$D$52+'Fabbisogno 2026'!$D$53+'Fabbisogno 2026'!$D$54</f>
        <v>307.566666666667</v>
      </c>
    </row>
    <row r="41" customFormat="false" ht="15" hidden="false" customHeight="true" outlineLevel="0" collapsed="false">
      <c r="A41" s="28" t="s">
        <v>667</v>
      </c>
      <c r="B41" s="61" t="n">
        <f aca="false">B31*B39</f>
        <v>5.66769041769042</v>
      </c>
    </row>
    <row r="43" customFormat="false" ht="15" hidden="false" customHeight="true" outlineLevel="0" collapsed="false">
      <c r="A43" s="26" t="s">
        <v>668</v>
      </c>
      <c r="B43" s="27"/>
    </row>
    <row r="44" customFormat="false" ht="15" hidden="false" customHeight="true" outlineLevel="0" collapsed="false">
      <c r="A44" s="28" t="s">
        <v>669</v>
      </c>
      <c r="B44" s="62" t="n">
        <v>1.5</v>
      </c>
    </row>
    <row r="45" customFormat="false" ht="15" hidden="false" customHeight="true" outlineLevel="0" collapsed="false">
      <c r="A45" s="28" t="s">
        <v>670</v>
      </c>
      <c r="B45" s="58" t="n">
        <v>7</v>
      </c>
    </row>
    <row r="46" customFormat="false" ht="15" hidden="false" customHeight="true" outlineLevel="0" collapsed="false">
      <c r="A46" s="28" t="s">
        <v>671</v>
      </c>
      <c r="B46" s="58" t="n">
        <v>4</v>
      </c>
    </row>
    <row r="47" customFormat="false" ht="15" hidden="false" customHeight="true" outlineLevel="0" collapsed="false">
      <c r="A47" s="28" t="s">
        <v>672</v>
      </c>
      <c r="B47" s="62" t="n">
        <v>1</v>
      </c>
    </row>
    <row r="48" customFormat="false" ht="15" hidden="false" customHeight="true" outlineLevel="0" collapsed="false">
      <c r="A48" s="28" t="s">
        <v>673</v>
      </c>
      <c r="B48" s="58" t="n">
        <v>20</v>
      </c>
    </row>
    <row r="49" customFormat="false" ht="15" hidden="false" customHeight="true" outlineLevel="0" collapsed="false">
      <c r="A49" s="28" t="s">
        <v>674</v>
      </c>
      <c r="B49" s="58" t="n">
        <v>1</v>
      </c>
    </row>
    <row r="50" customFormat="false" ht="15" hidden="false" customHeight="true" outlineLevel="0" collapsed="false">
      <c r="A50" s="28" t="s">
        <v>675</v>
      </c>
      <c r="B50" s="58" t="n">
        <v>1</v>
      </c>
    </row>
    <row r="51" customFormat="false" ht="15" hidden="false" customHeight="true" outlineLevel="0" collapsed="false">
      <c r="A51" s="28" t="s">
        <v>676</v>
      </c>
      <c r="B51" s="58" t="n">
        <v>1</v>
      </c>
    </row>
    <row r="52" customFormat="false" ht="15" hidden="false" customHeight="true" outlineLevel="0" collapsed="false">
      <c r="A52" s="28" t="s">
        <v>677</v>
      </c>
      <c r="B52" s="58" t="n">
        <v>1</v>
      </c>
    </row>
    <row r="53" customFormat="false" ht="15" hidden="false" customHeight="true" outlineLevel="0" collapsed="false">
      <c r="A53" s="28" t="s">
        <v>678</v>
      </c>
      <c r="B53" s="58" t="n">
        <v>1</v>
      </c>
    </row>
    <row r="55" customFormat="false" ht="15" hidden="false" customHeight="true" outlineLevel="0" collapsed="false">
      <c r="A55" s="26" t="s">
        <v>679</v>
      </c>
      <c r="B55" s="27"/>
    </row>
    <row r="56" customFormat="false" ht="15" hidden="false" customHeight="true" outlineLevel="0" collapsed="false">
      <c r="A56" s="28" t="s">
        <v>680</v>
      </c>
      <c r="B56" s="58" t="n">
        <v>120</v>
      </c>
    </row>
    <row r="57" customFormat="false" ht="15" hidden="false" customHeight="true" outlineLevel="0" collapsed="false">
      <c r="A57" s="28" t="s">
        <v>636</v>
      </c>
      <c r="B57" s="59" t="n">
        <v>0.1</v>
      </c>
    </row>
    <row r="58" customFormat="false" ht="15" hidden="false" customHeight="true" outlineLevel="0" collapsed="false">
      <c r="A58" s="28" t="s">
        <v>681</v>
      </c>
      <c r="B58" s="58" t="n">
        <v>1</v>
      </c>
    </row>
    <row r="59" customFormat="false" ht="15" hidden="false" customHeight="true" outlineLevel="0" collapsed="false">
      <c r="A59" s="28" t="s">
        <v>682</v>
      </c>
      <c r="B59" s="58" t="n">
        <v>1</v>
      </c>
    </row>
    <row r="60" customFormat="false" ht="15" hidden="false" customHeight="true" outlineLevel="0" collapsed="false">
      <c r="A60" s="28" t="s">
        <v>683</v>
      </c>
      <c r="B60" s="58" t="n">
        <v>1</v>
      </c>
    </row>
    <row r="61" customFormat="false" ht="15" hidden="false" customHeight="true" outlineLevel="0" collapsed="false">
      <c r="A61" s="28" t="s">
        <v>684</v>
      </c>
      <c r="B61" s="58" t="n">
        <v>1</v>
      </c>
    </row>
    <row r="62" customFormat="false" ht="15" hidden="false" customHeight="true" outlineLevel="0" collapsed="false">
      <c r="A62" s="28" t="s">
        <v>685</v>
      </c>
      <c r="B62" s="58" t="n">
        <v>2</v>
      </c>
    </row>
    <row r="64" customFormat="false" ht="15" hidden="false" customHeight="true" outlineLevel="0" collapsed="false">
      <c r="A64" s="26" t="s">
        <v>686</v>
      </c>
      <c r="B64" s="27"/>
    </row>
    <row r="65" customFormat="false" ht="15" hidden="false" customHeight="true" outlineLevel="0" collapsed="false">
      <c r="A65" s="28" t="s">
        <v>680</v>
      </c>
      <c r="B65" s="58" t="n">
        <v>150</v>
      </c>
    </row>
    <row r="66" customFormat="false" ht="15" hidden="false" customHeight="true" outlineLevel="0" collapsed="false">
      <c r="A66" s="28" t="s">
        <v>636</v>
      </c>
      <c r="B66" s="59" t="n">
        <v>0.1</v>
      </c>
    </row>
    <row r="67" customFormat="false" ht="15" hidden="false" customHeight="true" outlineLevel="0" collapsed="false">
      <c r="A67" s="28" t="s">
        <v>681</v>
      </c>
      <c r="B67" s="58" t="n">
        <v>1</v>
      </c>
    </row>
    <row r="68" customFormat="false" ht="15" hidden="false" customHeight="true" outlineLevel="0" collapsed="false">
      <c r="A68" s="28" t="s">
        <v>682</v>
      </c>
      <c r="B68" s="58" t="n">
        <v>1</v>
      </c>
    </row>
    <row r="69" customFormat="false" ht="15" hidden="false" customHeight="true" outlineLevel="0" collapsed="false">
      <c r="A69" s="28" t="s">
        <v>683</v>
      </c>
      <c r="B69" s="58" t="n">
        <v>0</v>
      </c>
    </row>
    <row r="70" customFormat="false" ht="15" hidden="false" customHeight="true" outlineLevel="0" collapsed="false">
      <c r="A70" s="28" t="s">
        <v>684</v>
      </c>
      <c r="B70" s="58" t="n">
        <v>1</v>
      </c>
    </row>
    <row r="71" customFormat="false" ht="15" hidden="false" customHeight="true" outlineLevel="0" collapsed="false">
      <c r="A71" s="28" t="s">
        <v>685</v>
      </c>
      <c r="B71" s="58" t="n">
        <v>2</v>
      </c>
    </row>
    <row r="73" customFormat="false" ht="15" hidden="false" customHeight="true" outlineLevel="0" collapsed="false">
      <c r="A73" s="26" t="s">
        <v>687</v>
      </c>
      <c r="B73" s="27"/>
    </row>
    <row r="74" customFormat="false" ht="15" hidden="false" customHeight="true" outlineLevel="0" collapsed="false">
      <c r="A74" s="28" t="s">
        <v>688</v>
      </c>
      <c r="B74" s="58" t="n">
        <v>1</v>
      </c>
    </row>
    <row r="75" customFormat="false" ht="15" hidden="false" customHeight="true" outlineLevel="0" collapsed="false">
      <c r="A75" s="28" t="s">
        <v>689</v>
      </c>
      <c r="B75" s="58" t="n">
        <v>1</v>
      </c>
    </row>
    <row r="77" customFormat="false" ht="15" hidden="false" customHeight="true" outlineLevel="0" collapsed="false">
      <c r="A77" s="26" t="s">
        <v>690</v>
      </c>
      <c r="B77" s="27"/>
    </row>
    <row r="78" customFormat="false" ht="15" hidden="false" customHeight="true" outlineLevel="0" collapsed="false">
      <c r="A78" s="28" t="s">
        <v>691</v>
      </c>
      <c r="B78" s="58" t="n">
        <v>200</v>
      </c>
    </row>
    <row r="79" customFormat="false" ht="15" hidden="false" customHeight="true" outlineLevel="0" collapsed="false">
      <c r="A79" s="28" t="s">
        <v>636</v>
      </c>
      <c r="B79" s="59" t="n">
        <v>0.1</v>
      </c>
    </row>
    <row r="80" customFormat="false" ht="15" hidden="false" customHeight="true" outlineLevel="0" collapsed="false">
      <c r="A80" s="28" t="s">
        <v>681</v>
      </c>
      <c r="B80" s="58" t="n">
        <v>2</v>
      </c>
    </row>
    <row r="81" customFormat="false" ht="15" hidden="false" customHeight="true" outlineLevel="0" collapsed="false">
      <c r="A81" s="28" t="s">
        <v>682</v>
      </c>
      <c r="B81" s="58" t="n">
        <v>2</v>
      </c>
    </row>
    <row r="82" customFormat="false" ht="15" hidden="false" customHeight="true" outlineLevel="0" collapsed="false">
      <c r="A82" s="28" t="s">
        <v>683</v>
      </c>
      <c r="B82" s="58" t="n">
        <v>2</v>
      </c>
    </row>
    <row r="83" customFormat="false" ht="15" hidden="false" customHeight="true" outlineLevel="0" collapsed="false">
      <c r="A83" s="28" t="s">
        <v>684</v>
      </c>
      <c r="B83" s="58" t="n">
        <v>2</v>
      </c>
    </row>
    <row r="84" customFormat="false" ht="15" hidden="false" customHeight="true" outlineLevel="0" collapsed="false">
      <c r="A84" s="28" t="s">
        <v>685</v>
      </c>
      <c r="B84" s="5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9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6"/>
  </cols>
  <sheetData>
    <row r="1" customFormat="false" ht="39.75" hidden="false" customHeight="true" outlineLevel="0" collapsed="false">
      <c r="A1" s="2" t="s">
        <v>0</v>
      </c>
      <c r="B1" s="2" t="s">
        <v>692</v>
      </c>
      <c r="C1" s="2" t="s">
        <v>693</v>
      </c>
      <c r="D1" s="2" t="s">
        <v>694</v>
      </c>
      <c r="E1" s="2" t="s">
        <v>695</v>
      </c>
      <c r="F1" s="2" t="s">
        <v>696</v>
      </c>
      <c r="G1" s="2" t="s">
        <v>697</v>
      </c>
      <c r="H1" s="2" t="s">
        <v>698</v>
      </c>
      <c r="I1" s="2" t="s">
        <v>699</v>
      </c>
      <c r="J1" s="2" t="s">
        <v>700</v>
      </c>
    </row>
    <row r="2" customFormat="false" ht="15" hidden="false" customHeight="true" outlineLevel="0" collapsed="false">
      <c r="A2" s="3" t="s">
        <v>46</v>
      </c>
      <c r="B2" s="18" t="n">
        <v>11</v>
      </c>
      <c r="C2" s="18" t="n">
        <v>11</v>
      </c>
      <c r="D2" s="18" t="n">
        <v>14</v>
      </c>
      <c r="E2" s="18" t="n">
        <v>26</v>
      </c>
      <c r="F2" s="31" t="n">
        <f aca="false">SUM(B2:E2)</f>
        <v>62</v>
      </c>
      <c r="G2" s="6" t="n">
        <v>1</v>
      </c>
      <c r="H2" s="6" t="n">
        <f aca="false">F2*G2</f>
        <v>62</v>
      </c>
      <c r="I2" s="66"/>
      <c r="J2" s="67" t="str">
        <f aca="false">IF(I2="","",F2*I2)</f>
        <v/>
      </c>
    </row>
    <row r="3" customFormat="false" ht="15" hidden="false" customHeight="true" outlineLevel="0" collapsed="false">
      <c r="A3" s="3" t="s">
        <v>43</v>
      </c>
      <c r="B3" s="18" t="n">
        <v>31</v>
      </c>
      <c r="C3" s="18" t="n">
        <v>43</v>
      </c>
      <c r="D3" s="18" t="n">
        <v>47</v>
      </c>
      <c r="E3" s="18" t="n">
        <v>85</v>
      </c>
      <c r="F3" s="31" t="n">
        <f aca="false">SUM(B3:E3)</f>
        <v>206</v>
      </c>
      <c r="G3" s="6" t="n">
        <v>1</v>
      </c>
      <c r="H3" s="6" t="n">
        <f aca="false">F3*G3</f>
        <v>206</v>
      </c>
      <c r="I3" s="66"/>
      <c r="J3" s="67" t="str">
        <f aca="false">IF(I3="","",F3*I3)</f>
        <v/>
      </c>
    </row>
    <row r="4" customFormat="false" ht="15" hidden="false" customHeight="true" outlineLevel="0" collapsed="false">
      <c r="A4" s="3" t="s">
        <v>64</v>
      </c>
      <c r="B4" s="18" t="n">
        <v>13</v>
      </c>
      <c r="C4" s="18" t="n">
        <v>13</v>
      </c>
      <c r="D4" s="18" t="n">
        <v>10</v>
      </c>
      <c r="E4" s="18" t="n">
        <v>30</v>
      </c>
      <c r="F4" s="31" t="n">
        <f aca="false">SUM(B4:E4)</f>
        <v>66</v>
      </c>
      <c r="G4" s="6" t="n">
        <v>2.5</v>
      </c>
      <c r="H4" s="6" t="n">
        <f aca="false">F4*G4</f>
        <v>165</v>
      </c>
      <c r="I4" s="66" t="n">
        <v>0.2</v>
      </c>
      <c r="J4" s="67" t="n">
        <f aca="false">IF(I4="","",F4*I4)</f>
        <v>13.2</v>
      </c>
    </row>
    <row r="5" customFormat="false" ht="15" hidden="false" customHeight="true" outlineLevel="0" collapsed="false">
      <c r="A5" s="3" t="s">
        <v>66</v>
      </c>
      <c r="B5" s="18" t="n">
        <v>25</v>
      </c>
      <c r="C5" s="18" t="n">
        <v>34</v>
      </c>
      <c r="D5" s="18" t="n">
        <v>35</v>
      </c>
      <c r="E5" s="18" t="n">
        <v>77</v>
      </c>
      <c r="F5" s="31" t="n">
        <f aca="false">SUM(B5:E5)</f>
        <v>171</v>
      </c>
      <c r="G5" s="6" t="n">
        <v>4</v>
      </c>
      <c r="H5" s="6" t="n">
        <f aca="false">F5*G5</f>
        <v>684</v>
      </c>
      <c r="I5" s="66" t="n">
        <v>0.4</v>
      </c>
      <c r="J5" s="67" t="n">
        <f aca="false">IF(I5="","",F5*I5)</f>
        <v>68.4</v>
      </c>
    </row>
    <row r="6" customFormat="false" ht="15" hidden="false" customHeight="true" outlineLevel="0" collapsed="false">
      <c r="A6" s="3" t="s">
        <v>61</v>
      </c>
      <c r="B6" s="18" t="n">
        <v>1</v>
      </c>
      <c r="C6" s="18" t="n">
        <v>1</v>
      </c>
      <c r="D6" s="18" t="n">
        <v>3</v>
      </c>
      <c r="E6" s="18" t="n">
        <v>10</v>
      </c>
      <c r="F6" s="31" t="n">
        <f aca="false">SUM(B6:E6)</f>
        <v>15</v>
      </c>
      <c r="G6" s="6" t="n">
        <v>3</v>
      </c>
      <c r="H6" s="6" t="n">
        <f aca="false">F6*G6</f>
        <v>45</v>
      </c>
      <c r="I6" s="66" t="n">
        <v>0.2</v>
      </c>
      <c r="J6" s="67" t="n">
        <f aca="false">IF(I6="","",F6*I6)</f>
        <v>3</v>
      </c>
    </row>
    <row r="7" customFormat="false" ht="15" hidden="false" customHeight="true" outlineLevel="0" collapsed="false">
      <c r="A7" s="3" t="s">
        <v>63</v>
      </c>
      <c r="B7" s="18" t="n">
        <v>6</v>
      </c>
      <c r="C7" s="18" t="n">
        <v>7</v>
      </c>
      <c r="D7" s="18" t="n">
        <v>20</v>
      </c>
      <c r="E7" s="18" t="n">
        <v>20</v>
      </c>
      <c r="F7" s="31" t="n">
        <f aca="false">SUM(B7:E7)</f>
        <v>53</v>
      </c>
      <c r="G7" s="6" t="n">
        <v>5</v>
      </c>
      <c r="H7" s="6" t="n">
        <f aca="false">F7*G7</f>
        <v>265</v>
      </c>
      <c r="I7" s="66" t="n">
        <v>0.4</v>
      </c>
      <c r="J7" s="67" t="n">
        <f aca="false">IF(I7="","",F7*I7)</f>
        <v>21.2</v>
      </c>
    </row>
    <row r="8" customFormat="false" ht="15" hidden="false" customHeight="true" outlineLevel="0" collapsed="false">
      <c r="A8" s="3" t="s">
        <v>48</v>
      </c>
      <c r="B8" s="18" t="n">
        <v>9</v>
      </c>
      <c r="C8" s="18" t="n">
        <v>11</v>
      </c>
      <c r="D8" s="18" t="n">
        <v>19</v>
      </c>
      <c r="E8" s="18" t="n">
        <v>32</v>
      </c>
      <c r="F8" s="31" t="n">
        <f aca="false">SUM(B8:E8)</f>
        <v>71</v>
      </c>
      <c r="G8" s="6" t="n">
        <v>2</v>
      </c>
      <c r="H8" s="6" t="n">
        <f aca="false">F8*G8</f>
        <v>142</v>
      </c>
      <c r="I8" s="66" t="n">
        <v>0.2</v>
      </c>
      <c r="J8" s="67" t="n">
        <f aca="false">IF(I8="","",F8*I8)</f>
        <v>14.2</v>
      </c>
    </row>
    <row r="9" customFormat="false" ht="15" hidden="false" customHeight="true" outlineLevel="0" collapsed="false">
      <c r="A9" s="3" t="s">
        <v>51</v>
      </c>
      <c r="B9" s="18" t="n">
        <v>14</v>
      </c>
      <c r="C9" s="18" t="n">
        <v>19</v>
      </c>
      <c r="D9" s="18" t="n">
        <v>29</v>
      </c>
      <c r="E9" s="18" t="n">
        <v>28</v>
      </c>
      <c r="F9" s="31" t="n">
        <f aca="false">SUM(B9:E9)</f>
        <v>90</v>
      </c>
      <c r="G9" s="6" t="n">
        <v>4</v>
      </c>
      <c r="H9" s="6" t="n">
        <f aca="false">F9*G9</f>
        <v>360</v>
      </c>
      <c r="I9" s="66" t="n">
        <v>0.4</v>
      </c>
      <c r="J9" s="67" t="n">
        <f aca="false">IF(I9="","",F9*I9)</f>
        <v>36</v>
      </c>
    </row>
    <row r="10" customFormat="false" ht="15" hidden="false" customHeight="true" outlineLevel="0" collapsed="false">
      <c r="A10" s="3" t="s">
        <v>40</v>
      </c>
      <c r="B10" s="18" t="n">
        <v>52</v>
      </c>
      <c r="C10" s="18" t="n">
        <v>52</v>
      </c>
      <c r="D10" s="18" t="n">
        <v>99</v>
      </c>
      <c r="E10" s="18" t="n">
        <v>138</v>
      </c>
      <c r="F10" s="31" t="n">
        <f aca="false">SUM(B10:E10)</f>
        <v>341</v>
      </c>
      <c r="G10" s="6" t="n">
        <v>3</v>
      </c>
      <c r="H10" s="6" t="n">
        <f aca="false">F10*G10</f>
        <v>1023</v>
      </c>
      <c r="I10" s="66"/>
      <c r="J10" s="67" t="str">
        <f aca="false">IF(I10="","",F10*I10)</f>
        <v/>
      </c>
    </row>
    <row r="11" customFormat="false" ht="15" hidden="false" customHeight="true" outlineLevel="0" collapsed="false">
      <c r="A11" s="3" t="s">
        <v>27</v>
      </c>
      <c r="B11" s="18" t="n">
        <v>10</v>
      </c>
      <c r="C11" s="18" t="n">
        <v>10</v>
      </c>
      <c r="D11" s="18" t="n">
        <v>16</v>
      </c>
      <c r="E11" s="18" t="n">
        <v>30</v>
      </c>
      <c r="F11" s="31" t="n">
        <f aca="false">SUM(B11:E11)</f>
        <v>66</v>
      </c>
      <c r="G11" s="6" t="n">
        <v>5</v>
      </c>
      <c r="H11" s="6" t="n">
        <f aca="false">F11*G11</f>
        <v>330</v>
      </c>
      <c r="I11" s="66"/>
      <c r="J11" s="67" t="str">
        <f aca="false">IF(I11="","",F11*I11)</f>
        <v/>
      </c>
    </row>
    <row r="12" customFormat="false" ht="15" hidden="false" customHeight="true" outlineLevel="0" collapsed="false">
      <c r="A12" s="3" t="s">
        <v>29</v>
      </c>
      <c r="B12" s="18" t="n">
        <v>28</v>
      </c>
      <c r="C12" s="18" t="n">
        <v>28</v>
      </c>
      <c r="D12" s="18" t="n">
        <v>22</v>
      </c>
      <c r="E12" s="18" t="n">
        <v>50</v>
      </c>
      <c r="F12" s="31" t="n">
        <f aca="false">SUM(B12:E12)</f>
        <v>128</v>
      </c>
      <c r="G12" s="6" t="n">
        <v>5</v>
      </c>
      <c r="H12" s="6" t="n">
        <f aca="false">F12*G12</f>
        <v>640</v>
      </c>
      <c r="I12" s="66"/>
      <c r="J12" s="67" t="str">
        <f aca="false">IF(I12="","",F12*I12)</f>
        <v/>
      </c>
    </row>
    <row r="13" customFormat="false" ht="15" hidden="false" customHeight="true" outlineLevel="0" collapsed="false">
      <c r="A13" s="3" t="s">
        <v>23</v>
      </c>
      <c r="B13" s="18" t="n">
        <v>20</v>
      </c>
      <c r="C13" s="18" t="n">
        <v>20</v>
      </c>
      <c r="D13" s="18" t="n">
        <v>8</v>
      </c>
      <c r="E13" s="18" t="n">
        <v>15</v>
      </c>
      <c r="F13" s="31" t="n">
        <f aca="false">SUM(B13:E13)</f>
        <v>63</v>
      </c>
      <c r="G13" s="6" t="n">
        <v>5</v>
      </c>
      <c r="H13" s="6" t="n">
        <f aca="false">F13*G13</f>
        <v>315</v>
      </c>
      <c r="I13" s="66"/>
      <c r="J13" s="67" t="str">
        <f aca="false">IF(I13="","",F13*I13)</f>
        <v/>
      </c>
    </row>
    <row r="14" customFormat="false" ht="15" hidden="false" customHeight="true" outlineLevel="0" collapsed="false">
      <c r="A14" s="3" t="s">
        <v>25</v>
      </c>
      <c r="B14" s="18" t="n">
        <v>28</v>
      </c>
      <c r="C14" s="18" t="n">
        <v>28</v>
      </c>
      <c r="D14" s="18" t="n">
        <v>40</v>
      </c>
      <c r="E14" s="18" t="n">
        <v>37</v>
      </c>
      <c r="F14" s="31" t="n">
        <f aca="false">SUM(B14:E14)</f>
        <v>133</v>
      </c>
      <c r="G14" s="6" t="n">
        <v>5</v>
      </c>
      <c r="H14" s="6" t="n">
        <f aca="false">F14*G14</f>
        <v>665</v>
      </c>
      <c r="I14" s="66"/>
      <c r="J14" s="67" t="str">
        <f aca="false">IF(I14="","",F14*I14)</f>
        <v/>
      </c>
    </row>
    <row r="15" customFormat="false" ht="15" hidden="false" customHeight="true" outlineLevel="0" collapsed="false">
      <c r="A15" s="3" t="s">
        <v>31</v>
      </c>
      <c r="B15" s="18" t="n">
        <v>3</v>
      </c>
      <c r="C15" s="18" t="n">
        <v>3</v>
      </c>
      <c r="D15" s="18" t="n">
        <v>8</v>
      </c>
      <c r="E15" s="18" t="n">
        <v>21</v>
      </c>
      <c r="F15" s="31" t="n">
        <f aca="false">SUM(B15:E15)</f>
        <v>35</v>
      </c>
      <c r="G15" s="6" t="n">
        <v>5</v>
      </c>
      <c r="H15" s="6" t="n">
        <f aca="false">F15*G15</f>
        <v>175</v>
      </c>
      <c r="I15" s="66"/>
      <c r="J15" s="67" t="str">
        <f aca="false">IF(I15="","",F15*I15)</f>
        <v/>
      </c>
    </row>
    <row r="16" customFormat="false" ht="15" hidden="false" customHeight="true" outlineLevel="0" collapsed="false">
      <c r="A16" s="3" t="s">
        <v>33</v>
      </c>
      <c r="B16" s="18" t="n">
        <v>17</v>
      </c>
      <c r="C16" s="18" t="n">
        <v>17</v>
      </c>
      <c r="D16" s="18" t="n">
        <v>27</v>
      </c>
      <c r="E16" s="18" t="n">
        <v>29</v>
      </c>
      <c r="F16" s="31" t="n">
        <f aca="false">SUM(B16:E16)</f>
        <v>90</v>
      </c>
      <c r="G16" s="6" t="n">
        <v>5</v>
      </c>
      <c r="H16" s="6" t="n">
        <f aca="false">F16*G16</f>
        <v>450</v>
      </c>
      <c r="I16" s="66"/>
      <c r="J16" s="67" t="str">
        <f aca="false">IF(I16="","",F16*I16)</f>
        <v/>
      </c>
    </row>
    <row r="17" customFormat="false" ht="15" hidden="false" customHeight="true" outlineLevel="0" collapsed="false">
      <c r="A17" s="3" t="s">
        <v>35</v>
      </c>
      <c r="B17" s="18" t="n">
        <v>2</v>
      </c>
      <c r="C17" s="18" t="n">
        <v>2</v>
      </c>
      <c r="D17" s="18" t="n">
        <v>6</v>
      </c>
      <c r="E17" s="18" t="n">
        <v>5</v>
      </c>
      <c r="F17" s="31" t="n">
        <f aca="false">SUM(B17:E17)</f>
        <v>15</v>
      </c>
      <c r="G17" s="6" t="n">
        <v>5</v>
      </c>
      <c r="H17" s="6" t="n">
        <f aca="false">F17*G17</f>
        <v>75</v>
      </c>
      <c r="I17" s="66"/>
      <c r="J17" s="67" t="str">
        <f aca="false">IF(I17="","",F17*I17)</f>
        <v/>
      </c>
    </row>
    <row r="18" customFormat="false" ht="15" hidden="false" customHeight="true" outlineLevel="0" collapsed="false">
      <c r="A18" s="3" t="s">
        <v>69</v>
      </c>
      <c r="B18" s="18" t="n">
        <v>6</v>
      </c>
      <c r="C18" s="18" t="n">
        <v>7</v>
      </c>
      <c r="D18" s="18" t="n">
        <v>4</v>
      </c>
      <c r="E18" s="18" t="n">
        <v>5</v>
      </c>
      <c r="F18" s="31" t="n">
        <f aca="false">SUM(B18:E18)</f>
        <v>22</v>
      </c>
      <c r="G18" s="6" t="n">
        <v>3.5</v>
      </c>
      <c r="H18" s="6" t="n">
        <f aca="false">F18*G18</f>
        <v>77</v>
      </c>
      <c r="I18" s="66" t="n">
        <f aca="false">'Prodotti Finiti'!$Q$9/1000</f>
        <v>0</v>
      </c>
      <c r="J18" s="67" t="n">
        <f aca="false">IF(I18="","",F18*I18)</f>
        <v>0</v>
      </c>
    </row>
    <row r="19" customFormat="false" ht="15" hidden="false" customHeight="true" outlineLevel="0" collapsed="false">
      <c r="A19" s="3" t="s">
        <v>71</v>
      </c>
      <c r="B19" s="18" t="n">
        <v>2</v>
      </c>
      <c r="C19" s="18" t="n">
        <v>5</v>
      </c>
      <c r="D19" s="18" t="n">
        <v>3</v>
      </c>
      <c r="E19" s="18" t="n">
        <v>1</v>
      </c>
      <c r="F19" s="31" t="n">
        <f aca="false">SUM(B19:E19)</f>
        <v>11</v>
      </c>
      <c r="G19" s="6" t="n">
        <v>3.5</v>
      </c>
      <c r="H19" s="6" t="n">
        <f aca="false">F19*G19</f>
        <v>38.5</v>
      </c>
      <c r="I19" s="66" t="n">
        <f aca="false">'Prodotti Finiti'!$Q$9/1000</f>
        <v>0</v>
      </c>
      <c r="J19" s="67" t="n">
        <f aca="false">IF(I19="","",F19*I19)</f>
        <v>0</v>
      </c>
    </row>
    <row r="20" customFormat="false" ht="15" hidden="false" customHeight="true" outlineLevel="0" collapsed="false">
      <c r="A20" s="3" t="s">
        <v>57</v>
      </c>
      <c r="B20" s="18" t="n">
        <v>5</v>
      </c>
      <c r="C20" s="18" t="n">
        <v>6</v>
      </c>
      <c r="D20" s="18" t="n">
        <v>8</v>
      </c>
      <c r="E20" s="18" t="n">
        <v>10</v>
      </c>
      <c r="F20" s="31" t="n">
        <f aca="false">SUM(B20:E20)</f>
        <v>29</v>
      </c>
      <c r="G20" s="6" t="n">
        <v>2</v>
      </c>
      <c r="H20" s="6" t="n">
        <f aca="false">F20*G20</f>
        <v>58</v>
      </c>
      <c r="I20" s="66"/>
      <c r="J20" s="67" t="str">
        <f aca="false">IF(I20="","",F20*I20)</f>
        <v/>
      </c>
    </row>
    <row r="21" customFormat="false" ht="15" hidden="false" customHeight="true" outlineLevel="0" collapsed="false">
      <c r="A21" s="3" t="s">
        <v>59</v>
      </c>
      <c r="B21" s="18" t="n">
        <v>7</v>
      </c>
      <c r="C21" s="18" t="n">
        <v>7</v>
      </c>
      <c r="D21" s="18" t="n">
        <v>21</v>
      </c>
      <c r="E21" s="18" t="n">
        <v>13</v>
      </c>
      <c r="F21" s="31" t="n">
        <f aca="false">SUM(B21:E21)</f>
        <v>48</v>
      </c>
      <c r="G21" s="6" t="n">
        <v>2</v>
      </c>
      <c r="H21" s="6" t="n">
        <f aca="false">F21*G21</f>
        <v>96</v>
      </c>
      <c r="I21" s="66"/>
      <c r="J21" s="67" t="str">
        <f aca="false">IF(I21="","",F21*I21)</f>
        <v/>
      </c>
    </row>
    <row r="22" customFormat="false" ht="15" hidden="false" customHeight="true" outlineLevel="0" collapsed="false">
      <c r="A22" s="3" t="s">
        <v>67</v>
      </c>
      <c r="B22" s="18" t="n">
        <v>11</v>
      </c>
      <c r="C22" s="18" t="n">
        <v>13</v>
      </c>
      <c r="D22" s="18" t="n">
        <v>5</v>
      </c>
      <c r="E22" s="18" t="n">
        <v>5</v>
      </c>
      <c r="F22" s="31" t="n">
        <f aca="false">SUM(B22:E22)</f>
        <v>34</v>
      </c>
      <c r="G22" s="6" t="n">
        <v>2.5</v>
      </c>
      <c r="H22" s="6" t="n">
        <f aca="false">F22*G22</f>
        <v>85</v>
      </c>
      <c r="I22" s="66" t="n">
        <v>0.2</v>
      </c>
      <c r="J22" s="67" t="n">
        <f aca="false">IF(I22="","",F22*I22)</f>
        <v>6.8</v>
      </c>
    </row>
    <row r="23" customFormat="false" ht="15" hidden="false" customHeight="true" outlineLevel="0" collapsed="false">
      <c r="A23" s="68" t="s">
        <v>83</v>
      </c>
      <c r="B23" s="22"/>
      <c r="C23" s="22"/>
      <c r="D23" s="22"/>
      <c r="E23" s="22"/>
      <c r="F23" s="69" t="n">
        <f aca="false">SUM(F2:F22)</f>
        <v>1749</v>
      </c>
      <c r="G23" s="22"/>
      <c r="H23" s="5" t="n">
        <f aca="false">SUM(H2:H22)</f>
        <v>5956.5</v>
      </c>
      <c r="I23" s="22"/>
      <c r="J23" s="70" t="n">
        <f aca="false">SUM(J2:J22)</f>
        <v>162.8</v>
      </c>
    </row>
    <row r="25" customFormat="false" ht="15" hidden="false" customHeight="true" outlineLevel="0" collapsed="false">
      <c r="A25" s="17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15" hidden="false" customHeight="true" outlineLevel="0" collapsed="false">
      <c r="A1" s="45" t="s">
        <v>702</v>
      </c>
      <c r="B1" s="27"/>
      <c r="C1" s="27"/>
      <c r="D1" s="27"/>
      <c r="E1" s="27"/>
      <c r="F1" s="27"/>
      <c r="G1" s="27"/>
    </row>
    <row r="3" customFormat="false" ht="15" hidden="false" customHeight="true" outlineLevel="0" collapsed="false">
      <c r="A3" s="26" t="s">
        <v>703</v>
      </c>
      <c r="B3" s="27"/>
    </row>
    <row r="4" customFormat="false" ht="15" hidden="false" customHeight="true" outlineLevel="0" collapsed="false">
      <c r="A4" s="28" t="s">
        <v>704</v>
      </c>
      <c r="B4" s="62" t="n">
        <v>4</v>
      </c>
    </row>
    <row r="5" customFormat="false" ht="15" hidden="false" customHeight="true" outlineLevel="0" collapsed="false">
      <c r="A5" s="28" t="s">
        <v>705</v>
      </c>
      <c r="B5" s="62" t="n">
        <v>120</v>
      </c>
    </row>
    <row r="6" customFormat="false" ht="15" hidden="false" customHeight="true" outlineLevel="0" collapsed="false">
      <c r="A6" s="28" t="s">
        <v>706</v>
      </c>
      <c r="B6" s="58" t="n">
        <v>7</v>
      </c>
    </row>
    <row r="7" customFormat="false" ht="15" hidden="false" customHeight="true" outlineLevel="0" collapsed="false">
      <c r="A7" s="28" t="s">
        <v>707</v>
      </c>
      <c r="B7" s="58" t="n">
        <v>400</v>
      </c>
    </row>
    <row r="8" customFormat="false" ht="15" hidden="false" customHeight="true" outlineLevel="0" collapsed="false">
      <c r="A8" s="28" t="s">
        <v>708</v>
      </c>
      <c r="B8" s="62" t="n">
        <v>9.5</v>
      </c>
    </row>
    <row r="9" customFormat="false" ht="15" hidden="false" customHeight="true" outlineLevel="0" collapsed="false">
      <c r="A9" s="26" t="s">
        <v>709</v>
      </c>
      <c r="B9" s="27"/>
    </row>
    <row r="10" customFormat="false" ht="15" hidden="false" customHeight="true" outlineLevel="0" collapsed="false">
      <c r="A10" s="28" t="s">
        <v>710</v>
      </c>
      <c r="B10" s="71" t="n">
        <f aca="false">B4</f>
        <v>4</v>
      </c>
    </row>
    <row r="11" customFormat="false" ht="15" hidden="false" customHeight="true" outlineLevel="0" collapsed="false">
      <c r="A11" s="28" t="s">
        <v>711</v>
      </c>
      <c r="B11" s="71" t="n">
        <f aca="false">'Prezzi Unitari'!$E$10</f>
        <v>0.3146</v>
      </c>
    </row>
    <row r="12" customFormat="false" ht="15" hidden="false" customHeight="true" outlineLevel="0" collapsed="false">
      <c r="A12" s="28" t="s">
        <v>530</v>
      </c>
      <c r="B12" s="71" t="n">
        <f aca="false">Parametri!$B$48/100*'Prezzi Unitari'!$E$7</f>
        <v>0.14476</v>
      </c>
    </row>
    <row r="13" customFormat="false" ht="15" hidden="false" customHeight="true" outlineLevel="0" collapsed="false">
      <c r="A13" s="28" t="s">
        <v>712</v>
      </c>
      <c r="B13" s="71" t="n">
        <f aca="false">Parametri!$B$78/1000*'Materie Prime IperTosano'!$H$4</f>
        <v>0.312</v>
      </c>
    </row>
    <row r="14" customFormat="false" ht="15" hidden="false" customHeight="true" outlineLevel="0" collapsed="false">
      <c r="A14" s="28" t="s">
        <v>713</v>
      </c>
      <c r="B14" s="71" t="n">
        <f aca="false">Parametri!$B$78*Parametri!$B$79/0.92/1000*'Prezzi Unitari'!$E$2</f>
        <v>0.0624586956521739</v>
      </c>
    </row>
    <row r="15" customFormat="false" ht="15" hidden="false" customHeight="true" outlineLevel="0" collapsed="false">
      <c r="A15" s="28" t="s">
        <v>714</v>
      </c>
      <c r="B15" s="71" t="n">
        <f aca="false">Parametri!$B$82*'Prezzi Unitari'!$E$3+Parametri!$B$83*'Prezzi Unitari'!$E$4</f>
        <v>0.373393939393939</v>
      </c>
    </row>
    <row r="16" customFormat="false" ht="15" hidden="false" customHeight="true" outlineLevel="0" collapsed="false">
      <c r="A16" s="28" t="s">
        <v>715</v>
      </c>
      <c r="B16" s="71" t="n">
        <f aca="false">Parametri!$B$84*'Prezzi Unitari'!$E$13</f>
        <v>0.060024</v>
      </c>
    </row>
    <row r="17" customFormat="false" ht="15" hidden="false" customHeight="true" outlineLevel="0" collapsed="false">
      <c r="A17" s="72" t="s">
        <v>716</v>
      </c>
      <c r="B17" s="71" t="n">
        <f aca="false">Parametri!$B$80*'Prezzi Unitari'!$E$12</f>
        <v>0.117608</v>
      </c>
    </row>
    <row r="18" customFormat="false" ht="15" hidden="false" customHeight="true" outlineLevel="0" collapsed="false">
      <c r="A18" s="28" t="s">
        <v>717</v>
      </c>
      <c r="B18" s="71" t="n">
        <f aca="false">Parametri!$B$81*'Prezzi Unitari'!$E$11</f>
        <v>0.0676228571428572</v>
      </c>
    </row>
    <row r="19" customFormat="false" ht="15" hidden="false" customHeight="true" outlineLevel="0" collapsed="false">
      <c r="A19" s="68" t="s">
        <v>718</v>
      </c>
      <c r="B19" s="23" t="n">
        <f aca="false">SUM(B10:B18)</f>
        <v>5.45246749218897</v>
      </c>
    </row>
    <row r="21" customFormat="false" ht="15" hidden="false" customHeight="true" outlineLevel="0" collapsed="false">
      <c r="A21" s="26" t="s">
        <v>719</v>
      </c>
      <c r="B21" s="27"/>
    </row>
    <row r="22" customFormat="false" ht="15" hidden="false" customHeight="true" outlineLevel="0" collapsed="false">
      <c r="A22" s="28" t="s">
        <v>720</v>
      </c>
      <c r="B22" s="73" t="n">
        <f aca="false">B8-B19</f>
        <v>4.04753250781103</v>
      </c>
    </row>
    <row r="23" customFormat="false" ht="15" hidden="false" customHeight="true" outlineLevel="0" collapsed="false">
      <c r="A23" s="28" t="s">
        <v>721</v>
      </c>
      <c r="B23" s="73" t="n">
        <f aca="false">B5*B6</f>
        <v>840</v>
      </c>
    </row>
    <row r="24" customFormat="false" ht="15" hidden="false" customHeight="true" outlineLevel="0" collapsed="false">
      <c r="A24" s="28" t="s">
        <v>722</v>
      </c>
      <c r="B24" s="73" t="n">
        <f aca="false">B7*B8</f>
        <v>3800</v>
      </c>
    </row>
    <row r="25" customFormat="false" ht="15" hidden="false" customHeight="true" outlineLevel="0" collapsed="false">
      <c r="A25" s="28" t="s">
        <v>723</v>
      </c>
      <c r="B25" s="73" t="n">
        <f aca="false">B7*B19</f>
        <v>2180.98699687559</v>
      </c>
    </row>
    <row r="26" customFormat="false" ht="15" hidden="false" customHeight="true" outlineLevel="0" collapsed="false">
      <c r="A26" s="35" t="s">
        <v>724</v>
      </c>
      <c r="B26" s="74" t="n">
        <f aca="false">B24-B25-B23</f>
        <v>779.013003124412</v>
      </c>
    </row>
    <row r="27" customFormat="false" ht="15" hidden="false" customHeight="true" outlineLevel="0" collapsed="false">
      <c r="A27" s="28" t="s">
        <v>725</v>
      </c>
      <c r="B27" s="75" t="n">
        <f aca="false">IF(B24=0,"",B26/B24)</f>
        <v>0.205003421874845</v>
      </c>
    </row>
    <row r="28" customFormat="false" ht="15" hidden="false" customHeight="true" outlineLevel="0" collapsed="false">
      <c r="A28" s="35" t="s">
        <v>726</v>
      </c>
      <c r="B28" s="76" t="n">
        <f aca="false">IF(B22&lt;=0,"mai",ROUNDUP(B23/B22,0))</f>
        <v>208</v>
      </c>
    </row>
    <row r="29" customFormat="false" ht="15" hidden="false" customHeight="true" outlineLevel="0" collapsed="false">
      <c r="A29" s="77" t="s">
        <v>727</v>
      </c>
      <c r="B29" s="78" t="n">
        <f aca="false">IF(B22&lt;=0,"mai",ROUNDUP(B5/B22,0))</f>
        <v>30</v>
      </c>
      <c r="C29" s="27"/>
      <c r="D29" s="27"/>
      <c r="E29" s="27"/>
      <c r="F29" s="27"/>
    </row>
    <row r="30" customFormat="false" ht="42" hidden="false" customHeight="true" outlineLevel="0" collapsed="false">
      <c r="A30" s="2" t="s">
        <v>728</v>
      </c>
      <c r="B30" s="2" t="s">
        <v>729</v>
      </c>
      <c r="C30" s="2" t="s">
        <v>730</v>
      </c>
      <c r="D30" s="2" t="s">
        <v>731</v>
      </c>
      <c r="E30" s="2" t="s">
        <v>732</v>
      </c>
      <c r="F30" s="2" t="s">
        <v>733</v>
      </c>
    </row>
    <row r="31" customFormat="false" ht="15" hidden="false" customHeight="true" outlineLevel="0" collapsed="false">
      <c r="A31" s="28" t="s">
        <v>734</v>
      </c>
      <c r="B31" s="75" t="n">
        <v>0.0973655121591747</v>
      </c>
      <c r="C31" s="79" t="n">
        <f aca="false">ROUND($B$7*B31,0)</f>
        <v>39</v>
      </c>
      <c r="D31" s="73" t="n">
        <f aca="false">C31*$B$22</f>
        <v>157.85376780463</v>
      </c>
      <c r="E31" s="73" t="n">
        <f aca="false">$B$5</f>
        <v>120</v>
      </c>
      <c r="F31" s="80" t="n">
        <f aca="false">D31-E31</f>
        <v>37.8537678046301</v>
      </c>
    </row>
    <row r="32" customFormat="false" ht="15" hidden="false" customHeight="true" outlineLevel="0" collapsed="false">
      <c r="A32" s="28" t="s">
        <v>735</v>
      </c>
      <c r="B32" s="75" t="n">
        <v>0.106392778187178</v>
      </c>
      <c r="C32" s="79" t="n">
        <f aca="false">ROUND($B$7*B32,0)</f>
        <v>43</v>
      </c>
      <c r="D32" s="73" t="n">
        <f aca="false">C32*$B$22</f>
        <v>174.043897835874</v>
      </c>
      <c r="E32" s="73" t="n">
        <f aca="false">$B$5</f>
        <v>120</v>
      </c>
      <c r="F32" s="80" t="n">
        <f aca="false">D32-E32</f>
        <v>54.0438978358743</v>
      </c>
    </row>
    <row r="33" customFormat="false" ht="15" hidden="false" customHeight="true" outlineLevel="0" collapsed="false">
      <c r="A33" s="28" t="s">
        <v>736</v>
      </c>
      <c r="B33" s="75" t="n">
        <v>0.139646278555637</v>
      </c>
      <c r="C33" s="79" t="n">
        <f aca="false">ROUND($B$7*B33,0)</f>
        <v>56</v>
      </c>
      <c r="D33" s="73" t="n">
        <f aca="false">C33*$B$22</f>
        <v>226.661820437418</v>
      </c>
      <c r="E33" s="73" t="n">
        <f aca="false">$B$5</f>
        <v>120</v>
      </c>
      <c r="F33" s="80" t="n">
        <f aca="false">D33-E33</f>
        <v>106.661820437418</v>
      </c>
    </row>
    <row r="34" customFormat="false" ht="15" hidden="false" customHeight="true" outlineLevel="0" collapsed="false">
      <c r="A34" s="28" t="s">
        <v>737</v>
      </c>
      <c r="B34" s="75" t="n">
        <v>0.205278187177598</v>
      </c>
      <c r="C34" s="79" t="n">
        <f aca="false">ROUND($B$7*B34,0)</f>
        <v>82</v>
      </c>
      <c r="D34" s="73" t="n">
        <f aca="false">C34*$B$22</f>
        <v>331.897665640504</v>
      </c>
      <c r="E34" s="73" t="n">
        <f aca="false">$B$5</f>
        <v>120</v>
      </c>
      <c r="F34" s="80" t="n">
        <f aca="false">D34-E34</f>
        <v>211.897665640504</v>
      </c>
    </row>
    <row r="35" customFormat="false" ht="15" hidden="false" customHeight="true" outlineLevel="0" collapsed="false">
      <c r="A35" s="28" t="s">
        <v>738</v>
      </c>
      <c r="B35" s="75" t="n">
        <v>0.106392778187178</v>
      </c>
      <c r="C35" s="79" t="n">
        <f aca="false">ROUND($B$7*B35,0)</f>
        <v>43</v>
      </c>
      <c r="D35" s="73" t="n">
        <f aca="false">C35*$B$22</f>
        <v>174.043897835874</v>
      </c>
      <c r="E35" s="73" t="n">
        <f aca="false">$B$5</f>
        <v>120</v>
      </c>
      <c r="F35" s="80" t="n">
        <f aca="false">D35-E35</f>
        <v>54.0438978358743</v>
      </c>
    </row>
    <row r="36" customFormat="false" ht="15" hidden="false" customHeight="true" outlineLevel="0" collapsed="false">
      <c r="A36" s="28" t="s">
        <v>739</v>
      </c>
      <c r="B36" s="75" t="n">
        <v>0.139646278555637</v>
      </c>
      <c r="C36" s="79" t="n">
        <f aca="false">ROUND($B$7*B36,0)</f>
        <v>56</v>
      </c>
      <c r="D36" s="73" t="n">
        <f aca="false">C36*$B$22</f>
        <v>226.661820437418</v>
      </c>
      <c r="E36" s="73" t="n">
        <f aca="false">$B$5</f>
        <v>120</v>
      </c>
      <c r="F36" s="80" t="n">
        <f aca="false">D36-E36</f>
        <v>106.661820437418</v>
      </c>
    </row>
    <row r="37" customFormat="false" ht="15" hidden="false" customHeight="true" outlineLevel="0" collapsed="false">
      <c r="A37" s="28" t="s">
        <v>740</v>
      </c>
      <c r="B37" s="75" t="n">
        <v>0.205278187177598</v>
      </c>
      <c r="C37" s="79" t="n">
        <f aca="false">ROUND($B$7*B37,0)</f>
        <v>82</v>
      </c>
      <c r="D37" s="73" t="n">
        <f aca="false">C37*$B$22</f>
        <v>331.897665640504</v>
      </c>
      <c r="E37" s="73" t="n">
        <f aca="false">$B$5</f>
        <v>120</v>
      </c>
      <c r="F37" s="80" t="n">
        <f aca="false">D37-E37</f>
        <v>211.897665640504</v>
      </c>
    </row>
    <row r="38" customFormat="false" ht="15" hidden="false" customHeight="true" outlineLevel="0" collapsed="false">
      <c r="A38" s="20" t="s">
        <v>83</v>
      </c>
      <c r="B38" s="22"/>
      <c r="C38" s="21" t="n">
        <f aca="false">SUM(C31:C37)</f>
        <v>401</v>
      </c>
      <c r="D38" s="23" t="n">
        <f aca="false">SUM(D31:D37)</f>
        <v>1623.06053563222</v>
      </c>
      <c r="E38" s="23" t="n">
        <f aca="false">SUM(E31:E37)</f>
        <v>840</v>
      </c>
      <c r="F38" s="23" t="n">
        <f aca="false">SUM(F31:F37)</f>
        <v>783.060535632223</v>
      </c>
    </row>
    <row r="40" customFormat="false" ht="15" hidden="false" customHeight="true" outlineLevel="0" collapsed="false">
      <c r="A40" s="26" t="s">
        <v>741</v>
      </c>
      <c r="B40" s="27"/>
      <c r="C40" s="27"/>
      <c r="D40" s="27"/>
      <c r="E40" s="27"/>
      <c r="F40" s="27"/>
    </row>
    <row r="41" customFormat="false" ht="15" hidden="false" customHeight="true" outlineLevel="0" collapsed="false">
      <c r="A41" s="77" t="s">
        <v>742</v>
      </c>
      <c r="B41" s="30" t="n">
        <v>250</v>
      </c>
      <c r="C41" s="30" t="n">
        <v>300</v>
      </c>
      <c r="D41" s="30" t="n">
        <v>350</v>
      </c>
      <c r="E41" s="30" t="n">
        <v>400</v>
      </c>
      <c r="F41" s="30" t="n">
        <v>450</v>
      </c>
    </row>
    <row r="42" customFormat="false" ht="15" hidden="false" customHeight="true" outlineLevel="0" collapsed="false">
      <c r="A42" s="5" t="n">
        <v>8.5</v>
      </c>
      <c r="B42" s="81" t="n">
        <f aca="false">(B$41*$A42)-(B$41*$B$19)-($B$5*$B$6)</f>
        <v>-78.1168730472427</v>
      </c>
      <c r="C42" s="81" t="n">
        <f aca="false">(C$41*$A42)-(C$41*$B$19)-($B$5*$B$6)</f>
        <v>74.2597523433087</v>
      </c>
      <c r="D42" s="81" t="n">
        <f aca="false">(D$41*$A42)-(D$41*$B$19)-($B$5*$B$6)</f>
        <v>226.63637773386</v>
      </c>
      <c r="E42" s="81" t="n">
        <f aca="false">(E$41*$A42)-(E$41*$B$19)-($B$5*$B$6)</f>
        <v>379.013003124412</v>
      </c>
      <c r="F42" s="81" t="n">
        <f aca="false">(F$41*$A42)-(F$41*$B$19)-($B$5*$B$6)</f>
        <v>531.389628514963</v>
      </c>
    </row>
    <row r="43" customFormat="false" ht="15" hidden="false" customHeight="true" outlineLevel="0" collapsed="false">
      <c r="A43" s="5" t="n">
        <v>9</v>
      </c>
      <c r="B43" s="81" t="n">
        <f aca="false">(B$41*$A43)-(B$41*$B$19)-($B$5*$B$6)</f>
        <v>46.8831269527573</v>
      </c>
      <c r="C43" s="81" t="n">
        <f aca="false">(C$41*$A43)-(C$41*$B$19)-($B$5*$B$6)</f>
        <v>224.259752343309</v>
      </c>
      <c r="D43" s="81" t="n">
        <f aca="false">(D$41*$A43)-(D$41*$B$19)-($B$5*$B$6)</f>
        <v>401.63637773386</v>
      </c>
      <c r="E43" s="81" t="n">
        <f aca="false">(E$41*$A43)-(E$41*$B$19)-($B$5*$B$6)</f>
        <v>579.013003124412</v>
      </c>
      <c r="F43" s="81" t="n">
        <f aca="false">(F$41*$A43)-(F$41*$B$19)-($B$5*$B$6)</f>
        <v>756.389628514963</v>
      </c>
    </row>
    <row r="44" customFormat="false" ht="15" hidden="false" customHeight="true" outlineLevel="0" collapsed="false">
      <c r="A44" s="5" t="n">
        <v>9.5</v>
      </c>
      <c r="B44" s="81" t="n">
        <f aca="false">(B$41*$A44)-(B$41*$B$19)-($B$5*$B$6)</f>
        <v>171.883126952757</v>
      </c>
      <c r="C44" s="81" t="n">
        <f aca="false">(C$41*$A44)-(C$41*$B$19)-($B$5*$B$6)</f>
        <v>374.259752343309</v>
      </c>
      <c r="D44" s="81" t="n">
        <f aca="false">(D$41*$A44)-(D$41*$B$19)-($B$5*$B$6)</f>
        <v>576.63637773386</v>
      </c>
      <c r="E44" s="81" t="n">
        <f aca="false">(E$41*$A44)-(E$41*$B$19)-($B$5*$B$6)</f>
        <v>779.013003124412</v>
      </c>
      <c r="F44" s="81" t="n">
        <f aca="false">(F$41*$A44)-(F$41*$B$19)-($B$5*$B$6)</f>
        <v>981.389628514963</v>
      </c>
    </row>
    <row r="45" customFormat="false" ht="15" hidden="false" customHeight="true" outlineLevel="0" collapsed="false">
      <c r="A45" s="5" t="n">
        <v>10</v>
      </c>
      <c r="B45" s="81" t="n">
        <f aca="false">(B$41*$A45)-(B$41*$B$19)-($B$5*$B$6)</f>
        <v>296.883126952757</v>
      </c>
      <c r="C45" s="81" t="n">
        <f aca="false">(C$41*$A45)-(C$41*$B$19)-($B$5*$B$6)</f>
        <v>524.259752343309</v>
      </c>
      <c r="D45" s="81" t="n">
        <f aca="false">(D$41*$A45)-(D$41*$B$19)-($B$5*$B$6)</f>
        <v>751.63637773386</v>
      </c>
      <c r="E45" s="81" t="n">
        <f aca="false">(E$41*$A45)-(E$41*$B$19)-($B$5*$B$6)</f>
        <v>979.013003124412</v>
      </c>
      <c r="F45" s="81" t="n">
        <f aca="false">(F$41*$A45)-(F$41*$B$19)-($B$5*$B$6)</f>
        <v>1206.38962851496</v>
      </c>
    </row>
    <row r="46" customFormat="false" ht="15" hidden="false" customHeight="true" outlineLevel="0" collapsed="false">
      <c r="A46" s="5" t="n">
        <v>10.5</v>
      </c>
      <c r="B46" s="81" t="n">
        <f aca="false">(B$41*$A46)-(B$41*$B$19)-($B$5*$B$6)</f>
        <v>421.883126952757</v>
      </c>
      <c r="C46" s="81" t="n">
        <f aca="false">(C$41*$A46)-(C$41*$B$19)-($B$5*$B$6)</f>
        <v>674.259752343309</v>
      </c>
      <c r="D46" s="81" t="n">
        <f aca="false">(D$41*$A46)-(D$41*$B$19)-($B$5*$B$6)</f>
        <v>926.63637773386</v>
      </c>
      <c r="E46" s="81" t="n">
        <f aca="false">(E$41*$A46)-(E$41*$B$19)-($B$5*$B$6)</f>
        <v>1179.01300312441</v>
      </c>
      <c r="F46" s="81" t="n">
        <f aca="false">(F$41*$A46)-(F$41*$B$19)-($B$5*$B$6)</f>
        <v>1431.38962851496</v>
      </c>
    </row>
    <row r="48" customFormat="false" ht="15" hidden="false" customHeight="true" outlineLevel="0" collapsed="false">
      <c r="A48" s="17" t="s">
        <v>743</v>
      </c>
    </row>
    <row r="49" customFormat="false" ht="15" hidden="false" customHeight="true" outlineLevel="0" collapsed="false">
      <c r="A49" s="17" t="s">
        <v>744</v>
      </c>
    </row>
    <row r="50" customFormat="false" ht="15" hidden="false" customHeight="true" outlineLevel="0" collapsed="false">
      <c r="A50" s="82" t="s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8"/>
  </cols>
  <sheetData>
    <row r="1" customFormat="false" ht="15" hidden="false" customHeight="true" outlineLevel="0" collapsed="false">
      <c r="A1" s="45" t="s">
        <v>746</v>
      </c>
      <c r="B1" s="27"/>
      <c r="C1" s="27"/>
      <c r="D1" s="27"/>
      <c r="E1" s="27"/>
      <c r="F1" s="27"/>
      <c r="G1" s="27"/>
    </row>
    <row r="3" customFormat="false" ht="15" hidden="false" customHeight="true" outlineLevel="0" collapsed="false">
      <c r="A3" s="26" t="s">
        <v>747</v>
      </c>
      <c r="B3" s="27"/>
      <c r="C3" s="27"/>
    </row>
    <row r="4" customFormat="false" ht="15" hidden="false" customHeight="true" outlineLevel="0" collapsed="false">
      <c r="A4" s="30" t="s">
        <v>748</v>
      </c>
      <c r="B4" s="30" t="s">
        <v>749</v>
      </c>
      <c r="C4" s="30" t="s">
        <v>750</v>
      </c>
    </row>
    <row r="5" customFormat="false" ht="15" hidden="false" customHeight="true" outlineLevel="0" collapsed="false">
      <c r="A5" s="28" t="s">
        <v>680</v>
      </c>
      <c r="B5" s="58" t="n">
        <v>120</v>
      </c>
      <c r="C5" s="58" t="n">
        <v>150</v>
      </c>
    </row>
    <row r="6" customFormat="false" ht="15" hidden="false" customHeight="true" outlineLevel="0" collapsed="false">
      <c r="A6" s="28" t="s">
        <v>636</v>
      </c>
      <c r="B6" s="59" t="n">
        <v>0.1</v>
      </c>
      <c r="C6" s="59" t="n">
        <v>0.1</v>
      </c>
    </row>
    <row r="7" customFormat="false" ht="15" hidden="false" customHeight="true" outlineLevel="0" collapsed="false">
      <c r="A7" s="28" t="s">
        <v>681</v>
      </c>
      <c r="B7" s="58" t="n">
        <v>1</v>
      </c>
      <c r="C7" s="58" t="n">
        <v>1</v>
      </c>
    </row>
    <row r="8" customFormat="false" ht="15" hidden="false" customHeight="true" outlineLevel="0" collapsed="false">
      <c r="A8" s="28" t="s">
        <v>682</v>
      </c>
      <c r="B8" s="58" t="n">
        <v>1</v>
      </c>
      <c r="C8" s="58" t="n">
        <v>1</v>
      </c>
    </row>
    <row r="9" customFormat="false" ht="15" hidden="false" customHeight="true" outlineLevel="0" collapsed="false">
      <c r="A9" s="28" t="s">
        <v>683</v>
      </c>
      <c r="B9" s="58" t="n">
        <v>1</v>
      </c>
      <c r="C9" s="58" t="n">
        <v>0</v>
      </c>
    </row>
    <row r="10" customFormat="false" ht="15" hidden="false" customHeight="true" outlineLevel="0" collapsed="false">
      <c r="A10" s="28" t="s">
        <v>684</v>
      </c>
      <c r="B10" s="58" t="n">
        <v>1</v>
      </c>
      <c r="C10" s="58" t="n">
        <v>1</v>
      </c>
    </row>
    <row r="11" customFormat="false" ht="15" hidden="false" customHeight="true" outlineLevel="0" collapsed="false">
      <c r="A11" s="28" t="s">
        <v>685</v>
      </c>
      <c r="B11" s="58" t="n">
        <v>2</v>
      </c>
      <c r="C11" s="58" t="n">
        <v>2</v>
      </c>
    </row>
    <row r="13" customFormat="false" ht="15" hidden="false" customHeight="true" outlineLevel="0" collapsed="false">
      <c r="A13" s="26" t="s">
        <v>751</v>
      </c>
      <c r="B13" s="27"/>
      <c r="C13" s="27"/>
    </row>
    <row r="14" customFormat="false" ht="15" hidden="false" customHeight="true" outlineLevel="0" collapsed="false">
      <c r="A14" s="30" t="s">
        <v>752</v>
      </c>
      <c r="B14" s="30" t="s">
        <v>749</v>
      </c>
      <c r="C14" s="30" t="s">
        <v>750</v>
      </c>
    </row>
    <row r="15" customFormat="false" ht="15" hidden="false" customHeight="true" outlineLevel="0" collapsed="false">
      <c r="A15" s="28" t="s">
        <v>753</v>
      </c>
      <c r="B15" s="71" t="n">
        <f aca="false">B5/1000*'Materie Prime IperTosano'!$H$6</f>
        <v>0.825</v>
      </c>
      <c r="C15" s="71" t="n">
        <f aca="false">C5/1000*'Materie Prime IperTosano'!$H$7</f>
        <v>0.987</v>
      </c>
    </row>
    <row r="16" customFormat="false" ht="15" hidden="false" customHeight="true" outlineLevel="0" collapsed="false">
      <c r="A16" s="28" t="s">
        <v>713</v>
      </c>
      <c r="B16" s="71" t="n">
        <f aca="false">B5*B6/0.92/1000*'Prezzi Unitari'!$E$2</f>
        <v>0.0374752173913044</v>
      </c>
      <c r="C16" s="71" t="n">
        <f aca="false">C5*C6/0.92/1000*'Prezzi Unitari'!$E$2</f>
        <v>0.0468440217391304</v>
      </c>
    </row>
    <row r="17" customFormat="false" ht="15" hidden="false" customHeight="true" outlineLevel="0" collapsed="false">
      <c r="A17" s="28" t="s">
        <v>714</v>
      </c>
      <c r="B17" s="71" t="n">
        <f aca="false">B9*'Prezzi Unitari'!$E$3+B10*'Prezzi Unitari'!$E$4</f>
        <v>0.18669696969697</v>
      </c>
      <c r="C17" s="71" t="n">
        <f aca="false">C9*'Prezzi Unitari'!$E$3+C10*'Prezzi Unitari'!$E$4</f>
        <v>0.0938106060606061</v>
      </c>
    </row>
    <row r="18" customFormat="false" ht="15" hidden="false" customHeight="true" outlineLevel="0" collapsed="false">
      <c r="A18" s="28" t="s">
        <v>754</v>
      </c>
      <c r="B18" s="71" t="n">
        <f aca="false">B7*'Prezzi Unitari'!$E$12</f>
        <v>0.058804</v>
      </c>
      <c r="C18" s="71" t="n">
        <f aca="false">C7*'Prezzi Unitari'!$E$12</f>
        <v>0.058804</v>
      </c>
    </row>
    <row r="19" customFormat="false" ht="15" hidden="false" customHeight="true" outlineLevel="0" collapsed="false">
      <c r="A19" s="28" t="s">
        <v>755</v>
      </c>
      <c r="B19" s="71" t="n">
        <f aca="false">B8*'Prezzi Unitari'!$E$11</f>
        <v>0.0338114285714286</v>
      </c>
      <c r="C19" s="71" t="n">
        <f aca="false">C8*'Prezzi Unitari'!$E$11</f>
        <v>0.0338114285714286</v>
      </c>
    </row>
    <row r="20" customFormat="false" ht="15" hidden="false" customHeight="true" outlineLevel="0" collapsed="false">
      <c r="A20" s="28" t="s">
        <v>715</v>
      </c>
      <c r="B20" s="71" t="n">
        <f aca="false">B11*'Prezzi Unitari'!$E$13</f>
        <v>0.040016</v>
      </c>
      <c r="C20" s="71" t="n">
        <f aca="false">C11*'Prezzi Unitari'!$E$13</f>
        <v>0.040016</v>
      </c>
    </row>
    <row r="21" customFormat="false" ht="15" hidden="false" customHeight="true" outlineLevel="0" collapsed="false">
      <c r="A21" s="20" t="s">
        <v>756</v>
      </c>
      <c r="B21" s="23" t="n">
        <f aca="false">SUM(B15:B20)</f>
        <v>1.1818036156597</v>
      </c>
      <c r="C21" s="23" t="n">
        <f aca="false">SUM(C15:C20)</f>
        <v>1.26028605637117</v>
      </c>
    </row>
    <row r="23" customFormat="false" ht="15" hidden="false" customHeight="true" outlineLevel="0" collapsed="false">
      <c r="A23" s="26" t="s">
        <v>757</v>
      </c>
      <c r="B23" s="27"/>
      <c r="C23" s="27"/>
      <c r="D23" s="27"/>
      <c r="E23" s="27"/>
    </row>
    <row r="24" customFormat="false" ht="15" hidden="false" customHeight="true" outlineLevel="0" collapsed="false">
      <c r="A24" s="83" t="s">
        <v>758</v>
      </c>
      <c r="B24" s="83" t="s">
        <v>759</v>
      </c>
      <c r="C24" s="83" t="s">
        <v>760</v>
      </c>
      <c r="D24" s="83" t="s">
        <v>761</v>
      </c>
      <c r="E24" s="83" t="s">
        <v>762</v>
      </c>
    </row>
    <row r="25" customFormat="false" ht="15" hidden="false" customHeight="true" outlineLevel="0" collapsed="false">
      <c r="A25" s="6" t="n">
        <v>3</v>
      </c>
      <c r="B25" s="6" t="n">
        <f aca="false">$A25-$B$21</f>
        <v>1.8181963843403</v>
      </c>
      <c r="C25" s="8" t="n">
        <f aca="false">B25/$A25</f>
        <v>0.606065461446766</v>
      </c>
      <c r="D25" s="6" t="n">
        <f aca="false">$A25-$C$21</f>
        <v>1.73971394362884</v>
      </c>
      <c r="E25" s="8" t="n">
        <f aca="false">D25/$A25</f>
        <v>0.579904647876278</v>
      </c>
    </row>
    <row r="26" customFormat="false" ht="15" hidden="false" customHeight="true" outlineLevel="0" collapsed="false">
      <c r="A26" s="6" t="n">
        <v>3.5</v>
      </c>
      <c r="B26" s="6" t="n">
        <f aca="false">$A26-$B$21</f>
        <v>2.3181963843403</v>
      </c>
      <c r="C26" s="8" t="n">
        <f aca="false">B26/$A26</f>
        <v>0.662341824097228</v>
      </c>
      <c r="D26" s="6" t="n">
        <f aca="false">$A26-$C$21</f>
        <v>2.23971394362883</v>
      </c>
      <c r="E26" s="8" t="n">
        <f aca="false">D26/$A26</f>
        <v>0.639918269608239</v>
      </c>
    </row>
    <row r="27" customFormat="false" ht="15" hidden="false" customHeight="true" outlineLevel="0" collapsed="false">
      <c r="A27" s="6" t="n">
        <v>4</v>
      </c>
      <c r="B27" s="6" t="n">
        <f aca="false">$A27-$B$21</f>
        <v>2.8181963843403</v>
      </c>
      <c r="C27" s="8" t="n">
        <f aca="false">B27/$A27</f>
        <v>0.704549096085074</v>
      </c>
      <c r="D27" s="6" t="n">
        <f aca="false">$A27-$C$21</f>
        <v>2.73971394362883</v>
      </c>
      <c r="E27" s="8" t="n">
        <f aca="false">D27/$A27</f>
        <v>0.684928485907209</v>
      </c>
    </row>
    <row r="28" customFormat="false" ht="15" hidden="false" customHeight="true" outlineLevel="0" collapsed="false">
      <c r="A28" s="6" t="n">
        <v>4.5</v>
      </c>
      <c r="B28" s="6" t="n">
        <f aca="false">$A28-$B$21</f>
        <v>3.3181963843403</v>
      </c>
      <c r="C28" s="8" t="n">
        <f aca="false">B28/$A28</f>
        <v>0.737376974297844</v>
      </c>
      <c r="D28" s="6" t="n">
        <f aca="false">$A28-$C$21</f>
        <v>3.23971394362883</v>
      </c>
      <c r="E28" s="8" t="n">
        <f aca="false">D28/$A28</f>
        <v>0.719936431917519</v>
      </c>
    </row>
    <row r="29" customFormat="false" ht="15" hidden="false" customHeight="true" outlineLevel="0" collapsed="false">
      <c r="A29" s="6" t="n">
        <v>5</v>
      </c>
      <c r="B29" s="6" t="n">
        <f aca="false">$A29-$B$21</f>
        <v>3.8181963843403</v>
      </c>
      <c r="C29" s="8" t="n">
        <f aca="false">B29/$A29</f>
        <v>0.763639276868059</v>
      </c>
      <c r="D29" s="6" t="n">
        <f aca="false">$A29-$C$21</f>
        <v>3.73971394362883</v>
      </c>
      <c r="E29" s="8" t="n">
        <f aca="false">D29/$A29</f>
        <v>0.747942788725767</v>
      </c>
    </row>
    <row r="31" customFormat="false" ht="15" hidden="false" customHeight="true" outlineLevel="0" collapsed="false">
      <c r="A31" s="17" t="s">
        <v>763</v>
      </c>
    </row>
    <row r="32" customFormat="false" ht="15" hidden="false" customHeight="true" outlineLevel="0" collapsed="false">
      <c r="A32" s="17" t="s">
        <v>764</v>
      </c>
    </row>
    <row r="33" customFormat="false" ht="15" hidden="false" customHeight="true" outlineLevel="0" collapsed="false">
      <c r="A33" s="82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2026-08-17T14:11:29Z</dcterms:created>
  <dc:creator>openpyxl</dc:creator>
  <dc:description/>
  <dc:language>en-US</dc:language>
  <cp:lastModifiedBy/>
  <dcterms:modified xsi:type="dcterms:W3CDTF">2026-08-28T14:56:30Z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